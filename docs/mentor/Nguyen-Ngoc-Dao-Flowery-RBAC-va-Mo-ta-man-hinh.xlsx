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984be537a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2e2eab381a6845e4"/>
    <x:sheet xmlns:r="http://schemas.openxmlformats.org/officeDocument/2006/relationships" name="Actor list" sheetId="2" r:id="Ra5c0cb509357439c"/>
    <x:sheet xmlns:r="http://schemas.openxmlformats.org/officeDocument/2006/relationships" name="Ma trận RBAC" sheetId="3" r:id="Rc9d482a8dbaf42c4"/>
    <x:sheet xmlns:r="http://schemas.openxmlformats.org/officeDocument/2006/relationships" name="Kiểm tra phủ quyền" sheetId="4" r:id="R8d6c39a0f85a4775"/>
    <x:sheet xmlns:r="http://schemas.openxmlformats.org/officeDocument/2006/relationships" name="Danh mục màn hình" sheetId="5" r:id="R37219de647ce4807"/>
    <x:sheet xmlns:r="http://schemas.openxmlformats.org/officeDocument/2006/relationships" name="Đặc tả - Đặt hàng" sheetId="6" r:id="Rf749d0ac102a4a8f"/>
    <x:sheet xmlns:r="http://schemas.openxmlformats.org/officeDocument/2006/relationships" name="Đặc tả - Hoàn tiền" sheetId="7" r:id="R6835f8f86cf4443f"/>
    <x:sheet xmlns:r="http://schemas.openxmlformats.org/officeDocument/2006/relationships" name="Đặc tả - Vận hành" sheetId="8" r:id="R708335573485434d"/>
    <x:sheet xmlns:r="http://schemas.openxmlformats.org/officeDocument/2006/relationships" name="Đặc tả - Admin" sheetId="9" r:id="Ra8d855d2a9c3438f"/>
    <x:sheet xmlns:r="http://schemas.openxmlformats.org/officeDocument/2006/relationships" name="Đối chiếu triển khai" sheetId="10" r:id="R949b44c14617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7"/>
      <x:color rgb="FFFFFFFF"/>
      <x:name val="Arial"/>
    </x:font>
    <x:font>
      <x:b/>
      <x:sz val="11"/>
      <x:color rgb="FF17365D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  <x:font>
      <x:sz val="9"/>
      <x:color rgb="FF111827"/>
      <x:name val="Arial"/>
    </x:font>
    <x:font>
      <x:b/>
      <x:sz val="9"/>
      <x:color rgb="FF006100"/>
      <x:name val="Arial"/>
    </x:font>
    <x:font>
      <x:b/>
      <x:sz val="9"/>
      <x:color rgb="FF7F6000"/>
      <x:name val="Arial"/>
    </x:font>
    <x:font>
      <x:b/>
      <x:sz val="9"/>
      <x:color rgb="FF595959"/>
      <x:name val="Arial"/>
    </x:font>
    <x:font>
      <x:b/>
      <x:sz val="10"/>
      <x:color rgb="FF17365D"/>
      <x:name val="Arial"/>
    </x:font>
    <x:font>
      <x:i/>
      <x:sz val="10"/>
      <x:color rgb="FF17365D"/>
      <x:name val="Carlito"/>
    </x:font>
    <x:font>
      <x:b/>
      <x:sz val="11"/>
      <x:color rgb="FF17365D"/>
      <x:name val="Carlito"/>
    </x:font>
    <x:font>
      <x:i/>
      <x:sz val="11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4F8FC"/>
      </x:patternFill>
    </x:fill>
  </x:fills>
  <x:borders count="5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left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horizontal="center" vertical="top" wrapText="1"/>
    </x:xf>
    <x:xf numFmtId="0" fontId="5" fillId="8" borderId="4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vertical="top" wrapText="1"/>
    </x:xf>
    <x:xf numFmtId="0" fontId="8" fillId="8" borderId="4" xfId="0" applyNumberFormat="1" applyFont="1" applyFill="1" applyBorder="1" applyAlignment="1">
      <x:alignment horizontal="center" vertical="top" wrapText="1"/>
    </x:xf>
    <x:xf numFmtId="0" fontId="9" fillId="4" borderId="4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4" xfId="0" applyNumberFormat="1" applyFont="1" applyFill="1" applyBorder="1"/>
    <x:xf numFmtId="0" fontId="10" fillId="9" borderId="4" xfId="0" applyNumberFormat="1" applyFont="1" applyFill="1" applyBorder="1" applyAlignment="1">
      <x:alignment wrapText="1"/>
    </x:xf>
    <x:xf numFmtId="0" fontId="10" fillId="9" borderId="4" xfId="0" applyNumberFormat="1" applyFont="1" applyFill="1" applyBorder="1" applyAlignment="1">
      <x:alignment horizontal="left" wrapText="1"/>
    </x:xf>
    <x:xf numFmtId="0" fontId="10" fillId="9" borderId="4" xfId="0" applyNumberFormat="1" applyFont="1" applyFill="1" applyBorder="1" applyAlignment="1">
      <x:alignment horizontal="left" vertical="center" wrapText="1"/>
    </x:xf>
    <x:xf numFmtId="0" fontId="11" fillId="3" borderId="0" xfId="0" applyNumberFormat="1" applyFont="1" applyFill="1" applyBorder="1"/>
    <x:xf numFmtId="0" fontId="11" fillId="3" borderId="4" xfId="0" applyNumberFormat="1" applyFont="1" applyFill="1" applyBorder="1"/>
    <x:xf numFmtId="0" fontId="11" fillId="3" borderId="4" xfId="0" applyNumberFormat="1" applyFont="1" applyFill="1" applyBorder="1" applyAlignment="1">
      <x:alignment horizont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top" wrapText="1"/>
    </x:xf>
    <x:xf numFmtId="0" fontId="12" fillId="9" borderId="0" xfId="0" applyNumberFormat="1" applyFont="1" applyFill="1" applyBorder="1"/>
    <x:xf numFmtId="0" fontId="12" fillId="9" borderId="4" xfId="0" applyNumberFormat="1" applyFont="1" applyFill="1" applyBorder="1"/>
    <x:xf numFmtId="0" fontId="12" fillId="9" borderId="4" xfId="0" applyNumberFormat="1" applyFont="1" applyFill="1" applyBorder="1" applyAlignment="1">
      <x:alignment wrapText="1"/>
    </x:xf>
    <x:xf numFmtId="0" fontId="12" fillId="9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460841e1f4072" /><Relationship Type="http://schemas.openxmlformats.org/officeDocument/2006/relationships/theme" Target="/xl/theme/theme1.xml" Id="Ra3a291107ef14eae" /><Relationship Type="http://schemas.openxmlformats.org/officeDocument/2006/relationships/sharedStrings" Target="/xl/sharedStrings.xml" Id="Rcb83e913c92d44ed" /><Relationship Type="http://schemas.openxmlformats.org/officeDocument/2006/relationships/worksheet" Target="/xl/worksheets/sheet1.xml" Id="R2e2eab381a6845e4" /><Relationship Type="http://schemas.openxmlformats.org/officeDocument/2006/relationships/worksheet" Target="/xl/worksheets/sheet2.xml" Id="Ra5c0cb509357439c" /><Relationship Type="http://schemas.openxmlformats.org/officeDocument/2006/relationships/worksheet" Target="/xl/worksheets/sheet3.xml" Id="Rc9d482a8dbaf42c4" /><Relationship Type="http://schemas.openxmlformats.org/officeDocument/2006/relationships/worksheet" Target="/xl/worksheets/sheet4.xml" Id="R8d6c39a0f85a4775" /><Relationship Type="http://schemas.openxmlformats.org/officeDocument/2006/relationships/worksheet" Target="/xl/worksheets/sheet5.xml" Id="R37219de647ce4807" /><Relationship Type="http://schemas.openxmlformats.org/officeDocument/2006/relationships/worksheet" Target="/xl/worksheets/sheet6.xml" Id="Rf749d0ac102a4a8f" /><Relationship Type="http://schemas.openxmlformats.org/officeDocument/2006/relationships/worksheet" Target="/xl/worksheets/sheet7.xml" Id="R6835f8f86cf4443f" /><Relationship Type="http://schemas.openxmlformats.org/officeDocument/2006/relationships/worksheet" Target="/xl/worksheets/sheet8.xml" Id="R708335573485434d" /><Relationship Type="http://schemas.openxmlformats.org/officeDocument/2006/relationships/worksheet" Target="/xl/worksheets/sheet9.xml" Id="Ra8d855d2a9c3438f" /><Relationship Type="http://schemas.openxmlformats.org/officeDocument/2006/relationships/worksheet" Target="/xl/worksheets/sheet10.xml" Id="R949b44c1461747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4" customHeight="1">
      <x:c r="A1" s="12" t="str">
        <x:v>FLOWERY – MA TRẬN PHÂN QUYỀN VÀ THIẾT KẾ MÀN HÌNH</x:v>
      </x:c>
      <x:c r="B1" s="13" t="str">
        <x:v>FLOWERY – MA TRẬN PHÂN QUYỀN VÀ THIẾT KẾ MÀN HÌNH</x:v>
      </x:c>
      <x:c r="C1" s="13" t="str">
        <x:v>FLOWERY – MA TRẬN PHÂN QUYỀN VÀ THIẾT KẾ MÀN HÌNH</x:v>
      </x:c>
      <x:c r="D1" s="13" t="str">
        <x:v>FLOWERY – MA TRẬN PHÂN QUYỀN VÀ THIẾT KẾ MÀN HÌNH</x:v>
      </x:c>
      <x:c r="E1" s="13" t="str">
        <x:v>FLOWERY – MA TRẬN PHÂN QUYỀN VÀ THIẾT KẾ MÀN HÌNH</x:v>
      </x:c>
      <x:c r="F1" s="13" t="str">
        <x:v>FLOWERY – MA TRẬN PHÂN QUYỀN VÀ THIẾT KẾ MÀN HÌNH</x:v>
      </x:c>
      <x:c r="G1" s="13" t="str">
        <x:v>FLOWERY – MA TRẬN PHÂN QUYỀN VÀ THIẾT KẾ MÀN HÌNH</x:v>
      </x:c>
      <x:c r="H1" s="14" t="str">
        <x:v>FLOWERY – MA TRẬN PHÂN QUYỀN VÀ THIẾT KẾ MÀN HÌNH</x:v>
      </x:c>
    </x:row>
    <x:row r="3" ht="24" customHeight="1">
      <x:c r="A3" s="20" t="str">
        <x:v>Mục tiêu và phạm vi</x:v>
      </x:c>
      <x:c r="B3" s="20" t="str">
        <x:v>Mục tiêu và phạm vi</x:v>
      </x:c>
      <x:c r="C3" s="20" t="str">
        <x:v>Mục tiêu và phạm vi</x:v>
      </x:c>
      <x:c r="D3" s="20" t="str">
        <x:v>Mục tiêu và phạm vi</x:v>
      </x:c>
      <x:c r="E3" s="20" t="str">
        <x:v>Mục tiêu và phạm vi</x:v>
      </x:c>
      <x:c r="F3" s="20" t="str">
        <x:v>Mục tiêu và phạm vi</x:v>
      </x:c>
      <x:c r="G3" s="20" t="str">
        <x:v>Mục tiêu và phạm vi</x:v>
      </x:c>
      <x:c r="H3" s="20" t="str">
        <x:v>Mục tiêu và phạm vi</x:v>
      </x:c>
    </x:row>
    <x:row r="4">
      <x:c r="A4" s="26" t="str">
        <x:v>1</x:v>
      </x:c>
      <x:c r="B4" s="25" t="str">
        <x:v>Task 1</x:v>
      </x:c>
      <x:c r="C4" s="25" t="str">
        <x:v>Ma trận RBAC</x:v>
      </x:c>
      <x:c r="D4" s="25" t="str">
        <x:v>Phủ 100 chức năng từ Danh sách chức năng đã hoàn thiện; xác định người có quyền, quyền trên dữ liệu riêng và quyền bị cấm.</x:v>
      </x:c>
      <x:c r="E4" s="25" t="str">
        <x:v>Ký hiệu O / O* / X theo biểu mẫu bài giảng.</x:v>
      </x:c>
      <x:c r="F4" s="25" t="str"/>
      <x:c r="G4" s="25" t="str"/>
      <x:c r="H4" s="25" t="str"/>
    </x:row>
    <x:row r="5">
      <x:c r="A5" s="26" t="str">
        <x:v>2</x:v>
      </x:c>
      <x:c r="B5" s="25" t="str">
        <x:v>Task 2</x:v>
      </x:c>
      <x:c r="C5" s="25" t="str">
        <x:v>Wireframe / Wireflow</x:v>
      </x:c>
      <x:c r="D5" s="25" t="str">
        <x:v>Mỗi User Task trong BPMN có ít nhất một màn hình hoặc modal; các nút bấm bị giới hạn đúng trạng thái State Diagram.</x:v>
      </x:c>
      <x:c r="E5" s="25" t="str">
        <x:v>File Draw.io đi kèm dùng các shape gốc, có thể chỉnh sửa.</x:v>
      </x:c>
      <x:c r="F5" s="25" t="str"/>
      <x:c r="G5" s="25" t="str"/>
      <x:c r="H5" s="25" t="str"/>
    </x:row>
    <x:row r="6">
      <x:c r="A6" s="26" t="str">
        <x:v>3</x:v>
      </x:c>
      <x:c r="B6" s="25" t="str">
        <x:v>Nguồn đối chiếu</x:v>
      </x:c>
      <x:c r="C6" s="25" t="str">
        <x:v>BPMN, State, Function List</x:v>
      </x:c>
      <x:c r="D6" s="25" t="str">
        <x:v>Nguyen-Ngoc-Dao-Flowery-BPMN-State-Chuc-nang.xlsx; mã nguồn server và Windows-App Flowery.</x:v>
      </x:c>
      <x:c r="E6" s="25" t="str">
        <x:v>Các quy tắc phải được thực thi ở API, không chỉ ẩn/hiện ở UI.</x:v>
      </x:c>
      <x:c r="F6" s="25" t="str"/>
      <x:c r="G6" s="25" t="str"/>
      <x:c r="H6" s="25" t="str"/>
    </x:row>
    <x:row r="7">
      <x:c r="A7" s="26" t="str">
        <x:v>4</x:v>
      </x:c>
      <x:c r="B7" s="25" t="str">
        <x:v>Quy ước sở hữu</x:v>
      </x:c>
      <x:c r="C7" s="25" t="str">
        <x:v>O*</x:v>
      </x:c>
      <x:c r="D7" s="25" t="str">
        <x:v>Tài khoản chỉ có quyền với bản ghi do chính họ tạo/sở hữu hoặc được gán xử lý.</x:v>
      </x:c>
      <x:c r="E7" s="25" t="str">
        <x:v>Ví dụ: Customer chỉ thấy đơn, refund, wishlist, cart của chính mình.</x:v>
      </x:c>
      <x:c r="F7" s="25" t="str"/>
      <x:c r="G7" s="25" t="str"/>
      <x:c r="H7" s="25" t="str"/>
    </x:row>
    <x:row r="9" ht="24" customHeight="1">
      <x:c r="A9" s="20" t="str">
        <x:v>Ký hiệu ma trận phân quyền</x:v>
      </x:c>
      <x:c r="B9" s="20" t="str">
        <x:v>Ký hiệu ma trận phân quyền</x:v>
      </x:c>
      <x:c r="C9" s="20" t="str">
        <x:v>Ký hiệu ma trận phân quyền</x:v>
      </x:c>
      <x:c r="D9" s="20" t="str">
        <x:v>Ký hiệu ma trận phân quyền</x:v>
      </x:c>
      <x:c r="E9" s="20" t="str">
        <x:v>Ký hiệu ma trận phân quyền</x:v>
      </x:c>
      <x:c r="F9" s="20" t="str">
        <x:v>Ký hiệu ma trận phân quyền</x:v>
      </x:c>
      <x:c r="G9" s="20" t="str">
        <x:v>Ký hiệu ma trận phân quyền</x:v>
      </x:c>
      <x:c r="H9" s="20" t="str">
        <x:v>Ký hiệu ma trận phân quyền</x:v>
      </x:c>
    </x:row>
    <x:row r="10" ht="34" customHeight="1">
      <x:c r="A10" s="32" t="str">
        <x:v>Ký hiệu</x:v>
      </x:c>
      <x:c r="B10" s="32" t="str">
        <x:v>Ý nghĩa</x:v>
      </x:c>
      <x:c r="C10" s="32" t="str">
        <x:v>Cách áp dụng</x:v>
      </x:c>
    </x:row>
    <x:row r="11">
      <x:c r="A11" s="39" t="str">
        <x:v>O</x:v>
      </x:c>
      <x:c r="B11" s="36" t="str">
        <x:v>Có quyền trên phạm vi được chỉ định</x:v>
      </x:c>
      <x:c r="C11" s="36" t="str">
        <x:v>Quyền đầy đủ theo hàng đợi / chức năng / trạng thái.</x:v>
      </x:c>
    </x:row>
    <x:row r="12">
      <x:c r="A12" s="42" t="str">
        <x:v>O*</x:v>
      </x:c>
      <x:c r="B12" s="36" t="str">
        <x:v>Có quyền giới hạn dữ liệu</x:v>
      </x:c>
      <x:c r="C12" s="36" t="str">
        <x:v>Chỉ bản ghi của mình hoặc được gán; API bắt buộc kiểm tra ownership.</x:v>
      </x:c>
    </x:row>
    <x:row r="13">
      <x:c r="A13" s="45" t="str">
        <x:v>X</x:v>
      </x:c>
      <x:c r="B13" s="36" t="str">
        <x:v>Không có quyền</x:v>
      </x:c>
      <x:c r="C13" s="36" t="str">
        <x:v>Không hiển thị hành động; API từ chối nếu gọi trực tiếp.</x:v>
      </x:c>
    </x:row>
    <x:row r="15" ht="24" customHeight="1">
      <x:c r="A15" s="20" t="str">
        <x:v>Nguyên tắc UI/UX áp dụng cho Flowery</x:v>
      </x:c>
      <x:c r="B15" s="20" t="str">
        <x:v>Nguyên tắc UI/UX áp dụng cho Flowery</x:v>
      </x:c>
      <x:c r="C15" s="20" t="str">
        <x:v>Nguyên tắc UI/UX áp dụng cho Flowery</x:v>
      </x:c>
      <x:c r="D15" s="20" t="str">
        <x:v>Nguyên tắc UI/UX áp dụng cho Flowery</x:v>
      </x:c>
      <x:c r="E15" s="20" t="str">
        <x:v>Nguyên tắc UI/UX áp dụng cho Flowery</x:v>
      </x:c>
      <x:c r="F15" s="20" t="str">
        <x:v>Nguyên tắc UI/UX áp dụng cho Flowery</x:v>
      </x:c>
      <x:c r="G15" s="20" t="str">
        <x:v>Nguyên tắc UI/UX áp dụng cho Flowery</x:v>
      </x:c>
      <x:c r="H15" s="20" t="str">
        <x:v>Nguyên tắc UI/UX áp dụng cho Flowery</x:v>
      </x:c>
    </x:row>
    <x:row r="16">
      <x:c r="A16" s="46" t="str">
        <x:v>Nhất quán</x:v>
      </x:c>
      <x:c r="B16" s="25" t="str">
        <x:v>Dùng cùng tên trạng thái (Confirmed, Preparing, Shipping, Delivered; Pending, Approved, Rejected, Completed), vị trí nút và màu cảnh báo trên toàn hệ thống.</x:v>
      </x:c>
    </x:row>
    <x:row r="17">
      <x:c r="A17" s="46" t="str">
        <x:v>Đơn giản &amp; ưu tiên</x:v>
      </x:c>
      <x:c r="B17" s="25" t="str">
        <x:v>Mỗi màn hình có một hành động chính; trường được nhóm theo mục đích, chỉ hiện chi tiết khi thật sự cần.</x:v>
      </x:c>
    </x:row>
    <x:row r="18">
      <x:c r="A18" s="46" t="str">
        <x:v>Phản hồi kịp thời</x:v>
      </x:c>
      <x:c r="B18" s="25" t="str">
        <x:v>Sau tạo/hủy đơn, bàn giao, duyệt/từ chối refund: khóa nút chống gửi lặp, báo thành công/lỗi rõ ràng và cập nhật trạng thái ngay.</x:v>
      </x:c>
    </x:row>
    <x:row r="19">
      <x:c r="A19" s="46" t="str">
        <x:v>Ngăn ngừa lỗi</x:v>
      </x:c>
      <x:c r="B19" s="25" t="str">
        <x:v>Ràng buộc ở trường và API: tồn kho, địa chỉ, lý do refund ≥10 ký tự, ownership, trạng thái chuyển tiếp, idempotency.</x:v>
      </x:c>
    </x:row>
    <x:row r="20">
      <x:c r="A20" s="46" t="str">
        <x:v>Bối cảnh &amp; quyền</x:v>
      </x:c>
      <x:c r="B20" s="25" t="str">
        <x:v>Nút hành động đặt sát thông tin đơn/refund liên quan; UI chỉ hiện nút phù hợp Role + State, nhưng API vẫn là điểm kiểm soát cuối.</x:v>
      </x:c>
    </x:row>
    <x:row r="21">
      <x:c r="A21" s="46" t="str">
        <x:v>Mặc định an toàn</x:v>
      </x:c>
      <x:c r="B21" s="25" t="str">
        <x:v>COD là mặc định; không có mặc định phá hủy; nút hủy/từ chối yêu cầu xác nhận hoặc lý do; không xóa lịch sử giao dịch.</x:v>
      </x:c>
    </x:row>
    <x:row r="22">
      <x:c r="A22" s="46" t="str">
        <x:v>Trợ giúp</x:v>
      </x:c>
      <x:c r="B22" s="25" t="str">
        <x:v>Gắn chú thích ngắn cho trạng thái, điều kiện hoàn tiền, mã vận đơn và thông báo lỗi có hướng dẫn khắc phục.</x:v>
      </x:c>
    </x:row>
  </x:sheetData>
  <x:mergeCells>
    <x:mergeCell ref="A1:H1"/>
    <x:mergeCell ref="A3:H3"/>
    <x:mergeCell ref="A9:H9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0" hidden="0" customWidth="1"/>
    <x:col min="4" max="4" width="22" hidden="0" customWidth="1"/>
    <x:col min="5" max="5" width="24" hidden="0" customWidth="1"/>
    <x:col min="6" max="6" width="74" hidden="0" customWidth="1"/>
  </x:cols>
  <x:sheetData>
    <x:row r="1" ht="34" customHeight="1">
      <x:c r="A1" s="12" t="str">
        <x:v>FLOWERY – DANH SÁCH ACTOR / ROLE</x:v>
      </x:c>
      <x:c r="B1" s="13" t="str">
        <x:v>FLOWERY – DANH SÁCH ACTOR / ROLE</x:v>
      </x:c>
      <x:c r="C1" s="13" t="str">
        <x:v>FLOWERY – DANH SÁCH ACTOR / ROLE</x:v>
      </x:c>
      <x:c r="D1" s="13" t="str">
        <x:v>FLOWERY – DANH SÁCH ACTOR / ROLE</x:v>
      </x:c>
      <x:c r="E1" s="13" t="str">
        <x:v>FLOWERY – DANH SÁCH ACTOR / ROLE</x:v>
      </x:c>
      <x:c r="F1" s="14" t="str">
        <x:v>FLOWERY – DANH SÁCH ACTOR / ROLE</x:v>
      </x:c>
    </x:row>
    <x:row r="3" ht="24" customHeight="1">
      <x:c r="A3" s="20" t="str">
        <x:v>Các vai trò được dùng trong ma trận phân quyền</x:v>
      </x:c>
      <x:c r="B3" s="20" t="str">
        <x:v>Các vai trò được dùng trong ma trận phân quyền</x:v>
      </x:c>
      <x:c r="C3" s="20" t="str">
        <x:v>Các vai trò được dùng trong ma trận phân quyền</x:v>
      </x:c>
      <x:c r="D3" s="20" t="str">
        <x:v>Các vai trò được dùng trong ma trận phân quyền</x:v>
      </x:c>
      <x:c r="E3" s="20" t="str">
        <x:v>Các vai trò được dùng trong ma trận phân quyền</x:v>
      </x:c>
      <x:c r="F3" s="20" t="str">
        <x:v>Các vai trò được dùng trong ma trận phân quyền</x:v>
      </x:c>
    </x:row>
    <x:row r="4" ht="34" customHeight="1">
      <x:c r="A4" s="32" t="str">
        <x:v>STT</x:v>
      </x:c>
      <x:c r="B4" s="32" t="str">
        <x:v>Actor Name</x:v>
      </x:c>
      <x:c r="C4" s="32" t="str">
        <x:v>Mã role / định danh</x:v>
      </x:c>
      <x:c r="D4" s="32" t="str">
        <x:v>Nhóm</x:v>
      </x:c>
      <x:c r="E4" s="32" t="str">
        <x:v>Cách xác thực</x:v>
      </x:c>
      <x:c r="F4" s="32" t="str">
        <x:v>Description</x:v>
      </x:c>
    </x:row>
    <x:row r="5" ht="52" customHeight="1">
      <x:c r="A5" s="47" t="n">
        <x:v>1</x:v>
      </x:c>
      <x:c r="B5" s="25" t="str">
        <x:v>Khách vãng lai</x:v>
      </x:c>
      <x:c r="C5" s="25" t="str">
        <x:v>guest</x:v>
      </x:c>
      <x:c r="D5" s="25" t="str">
        <x:v>Người dùng bên ngoài</x:v>
      </x:c>
      <x:c r="E5" s="25" t="str">
        <x:v>Không đăng nhập</x:v>
      </x:c>
      <x:c r="F5" s="25" t="str">
        <x:v>Chỉ xem dịch vụ công khai: catalog, bài viết, đăng ký/đăng nhập và trạng thái API.</x:v>
      </x:c>
    </x:row>
    <x:row r="6" ht="52" customHeight="1">
      <x:c r="A6" s="47" t="n">
        <x:v>2</x:v>
      </x:c>
      <x:c r="B6" s="25" t="str">
        <x:v>Khách hàng</x:v>
      </x:c>
      <x:c r="C6" s="25" t="str">
        <x:v>customer</x:v>
      </x:c>
      <x:c r="D6" s="25" t="str">
        <x:v>Người dùng bên ngoài</x:v>
      </x:c>
      <x:c r="E6" s="25" t="str">
        <x:v>Tài khoản customer</x:v>
      </x:c>
      <x:c r="F6" s="25" t="str">
        <x:v>Thao tác trên hồ sơ, giỏ, wishlist, đơn, yêu cầu hoàn tiền, đánh giá và thông báo thuộc chính mình.</x:v>
      </x:c>
    </x:row>
    <x:row r="7" ht="52" customHeight="1">
      <x:c r="A7" s="47" t="n">
        <x:v>3</x:v>
      </x:c>
      <x:c r="B7" s="25" t="str">
        <x:v>Nhân viên kho</x:v>
      </x:c>
      <x:c r="C7" s="25" t="str">
        <x:v>warehouse</x:v>
      </x:c>
      <x:c r="D7" s="25" t="str">
        <x:v>Nhân sự nội bộ</x:v>
      </x:c>
      <x:c r="E7" s="25" t="str">
        <x:v>Tài khoản warehouse</x:v>
      </x:c>
      <x:c r="F7" s="25" t="str">
        <x:v>Xem hàng/đơn vận hành; chỉ chuyển Confirmed → Preparing và Preparing → Shipping; không duyệt hoàn tiền hay quản trị danh mục.</x:v>
      </x:c>
    </x:row>
    <x:row r="8" ht="52" customHeight="1">
      <x:c r="A8" s="47" t="n">
        <x:v>4</x:v>
      </x:c>
      <x:c r="B8" s="25" t="str">
        <x:v>Nhân viên CSKH</x:v>
      </x:c>
      <x:c r="C8" s="25" t="str">
        <x:v>staff</x:v>
      </x:c>
      <x:c r="D8" s="25" t="str">
        <x:v>Nhân sự nội bộ</x:v>
      </x:c>
      <x:c r="E8" s="25" t="str">
        <x:v>Tài khoản staff</x:v>
      </x:c>
      <x:c r="F8" s="25" t="str">
        <x:v>Theo dõi đơn, xử lý yêu cầu hoàn tiền Pending → Approved/Rejected, trả lời hỗ trợ và xem thông báo công việc.</x:v>
      </x:c>
    </x:row>
    <x:row r="9" ht="52" customHeight="1">
      <x:c r="A9" s="47" t="n">
        <x:v>5</x:v>
      </x:c>
      <x:c r="B9" s="25" t="str">
        <x:v>Biên tập nội dung</x:v>
      </x:c>
      <x:c r="C9" s="25" t="str">
        <x:v>editor</x:v>
      </x:c>
      <x:c r="D9" s="25" t="str">
        <x:v>Nhân sự nội bộ</x:v>
      </x:c>
      <x:c r="E9" s="25" t="str">
        <x:v>Tài khoản editor</x:v>
      </x:c>
      <x:c r="F9" s="25" t="str">
        <x:v>Quản trị sản phẩm, danh mục, nội dung/media và kiểm duyệt đánh giá; không xử lý kho, đơn, hoàn tiền hoặc người dùng.</x:v>
      </x:c>
    </x:row>
    <x:row r="10" ht="52" customHeight="1">
      <x:c r="A10" s="47" t="n">
        <x:v>6</x:v>
      </x:c>
      <x:c r="B10" s="25" t="str">
        <x:v>Quản trị viên</x:v>
      </x:c>
      <x:c r="C10" s="25" t="str">
        <x:v>admin</x:v>
      </x:c>
      <x:c r="D10" s="25" t="str">
        <x:v>Nhân sự nội bộ</x:v>
      </x:c>
      <x:c r="E10" s="25" t="str">
        <x:v>Tài khoản admin</x:v>
      </x:c>
      <x:c r="F10" s="25" t="str">
        <x:v>Quyền quản trị toàn hệ thống: người dùng/vai trò, cấu hình, audit, danh mục, vận hành và báo cáo.</x:v>
      </x:c>
    </x:row>
    <x:row r="11" ht="52" customHeight="1">
      <x:c r="A11" s="47" t="n">
        <x:v>7</x:v>
      </x:c>
      <x:c r="B11" s="25" t="str">
        <x:v>Đơn vị vận chuyển</x:v>
      </x:c>
      <x:c r="C11" s="25" t="str">
        <x:v>carrier-service</x:v>
      </x:c>
      <x:c r="D11" s="25" t="str">
        <x:v>Tích hợp kỹ thuật</x:v>
      </x:c>
      <x:c r="E11" s="25" t="str">
        <x:v>Định danh webhook/API</x:v>
      </x:c>
      <x:c r="F11" s="25" t="str">
        <x:v>Chỉ gửi kết quả giao hàng, bằng chứng và yêu cầu giao lại cho shipment đã được bàn giao.</x:v>
      </x:c>
    </x:row>
    <x:row r="12" ht="52" customHeight="1">
      <x:c r="A12" s="47" t="n">
        <x:v>8</x:v>
      </x:c>
      <x:c r="B12" s="25" t="str">
        <x:v>Hệ thống / đối tác</x:v>
      </x:c>
      <x:c r="C12" s="25" t="str">
        <x:v>service-client</x:v>
      </x:c>
      <x:c r="D12" s="25" t="str">
        <x:v>Tích hợp kỹ thuật</x:v>
      </x:c>
      <x:c r="E12" s="25" t="str">
        <x:v>Service account</x:v>
      </x:c>
      <x:c r="F12" s="25" t="str">
        <x:v>Các tác vụ tự động: kiểm tra, transaction, thanh toán, thông báo, đồng bộ và Partner API/XML.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6" hidden="0" customWidth="1"/>
    <x:col min="3" max="3" width="20" hidden="0" customWidth="1"/>
    <x:col min="4" max="4" width="18" hidden="0" customWidth="1"/>
    <x:col min="5" max="5" width="4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4" hidden="0" customWidth="1"/>
    <x:col min="11" max="11" width="14" hidden="0" customWidth="1"/>
    <x:col min="12" max="12" width="15" hidden="0" customWidth="1"/>
    <x:col min="13" max="13" width="16" hidden="0" customWidth="1"/>
    <x:col min="14" max="14" width="58" hidden="0" customWidth="1"/>
    <x:col min="15" max="15" width="11" hidden="0" customWidth="1"/>
    <x:col min="16" max="16" width="13" hidden="0" customWidth="1"/>
  </x:cols>
  <x:sheetData>
    <x:row r="1" ht="34" customHeight="1">
      <x:c r="A1" s="12" t="str">
        <x:v>FLOWERY – MA TRẬN PHÂN QUYỀN (RBAC)</x:v>
      </x:c>
      <x:c r="B1" s="13" t="str">
        <x:v>FLOWERY – MA TRẬN PHÂN QUYỀN (RBAC)</x:v>
      </x:c>
      <x:c r="C1" s="13" t="str">
        <x:v>FLOWERY – MA TRẬN PHÂN QUYỀN (RBAC)</x:v>
      </x:c>
      <x:c r="D1" s="13" t="str">
        <x:v>FLOWERY – MA TRẬN PHÂN QUYỀN (RBAC)</x:v>
      </x:c>
      <x:c r="E1" s="13" t="str">
        <x:v>FLOWERY – MA TRẬN PHÂN QUYỀN (RBAC)</x:v>
      </x:c>
      <x:c r="F1" s="13" t="str">
        <x:v>FLOWERY – MA TRẬN PHÂN QUYỀN (RBAC)</x:v>
      </x:c>
      <x:c r="G1" s="13" t="str">
        <x:v>FLOWERY – MA TRẬN PHÂN QUYỀN (RBAC)</x:v>
      </x:c>
      <x:c r="H1" s="13" t="str">
        <x:v>FLOWERY – MA TRẬN PHÂN QUYỀN (RBAC)</x:v>
      </x:c>
      <x:c r="I1" s="13" t="str">
        <x:v>FLOWERY – MA TRẬN PHÂN QUYỀN (RBAC)</x:v>
      </x:c>
      <x:c r="J1" s="13" t="str">
        <x:v>FLOWERY – MA TRẬN PHÂN QUYỀN (RBAC)</x:v>
      </x:c>
      <x:c r="K1" s="13" t="str">
        <x:v>FLOWERY – MA TRẬN PHÂN QUYỀN (RBAC)</x:v>
      </x:c>
      <x:c r="L1" s="13" t="str">
        <x:v>FLOWERY – MA TRẬN PHÂN QUYỀN (RBAC)</x:v>
      </x:c>
      <x:c r="M1" s="13" t="str">
        <x:v>FLOWERY – MA TRẬN PHÂN QUYỀN (RBAC)</x:v>
      </x:c>
      <x:c r="N1" s="13" t="str">
        <x:v>FLOWERY – MA TRẬN PHÂN QUYỀN (RBAC)</x:v>
      </x:c>
      <x:c r="O1" s="13" t="str">
        <x:v>FLOWERY – MA TRẬN PHÂN QUYỀN (RBAC)</x:v>
      </x:c>
      <x:c r="P1" s="14" t="str">
        <x:v>FLOWERY – MA TRẬN PHÂN QUYỀN (RBAC)</x:v>
      </x:c>
    </x:row>
    <x:row r="2" ht="24" customHeight="1">
      <x:c r="A2" s="53" t="str">
        <x:v>Ký hiệu: O = có quyền | O* = chỉ dữ liệu của mình/được gán | X = không có quyền. Quyền UI phải luôn được kiểm soát lại tại API.</x:v>
      </x:c>
      <x:c r="B2" s="53" t="str">
        <x:v>Ký hiệu: O = có quyền | O* = chỉ dữ liệu của mình/được gán | X = không có quyền. Quyền UI phải luôn được kiểm soát lại tại API.</x:v>
      </x:c>
      <x:c r="C2" s="53" t="str">
        <x:v>Ký hiệu: O = có quyền | O* = chỉ dữ liệu của mình/được gán | X = không có quyền. Quyền UI phải luôn được kiểm soát lại tại API.</x:v>
      </x:c>
      <x:c r="D2" s="53" t="str">
        <x:v>Ký hiệu: O = có quyền | O* = chỉ dữ liệu của mình/được gán | X = không có quyền. Quyền UI phải luôn được kiểm soát lại tại API.</x:v>
      </x:c>
      <x:c r="E2" s="53" t="str">
        <x:v>Ký hiệu: O = có quyền | O* = chỉ dữ liệu của mình/được gán | X = không có quyền. Quyền UI phải luôn được kiểm soát lại tại API.</x:v>
      </x:c>
      <x:c r="F2" s="53" t="str">
        <x:v>Ký hiệu: O = có quyền | O* = chỉ dữ liệu của mình/được gán | X = không có quyền. Quyền UI phải luôn được kiểm soát lại tại API.</x:v>
      </x:c>
      <x:c r="G2" s="53" t="str">
        <x:v>Ký hiệu: O = có quyền | O* = chỉ dữ liệu của mình/được gán | X = không có quyền. Quyền UI phải luôn được kiểm soát lại tại API.</x:v>
      </x:c>
      <x:c r="H2" s="53" t="str">
        <x:v>Ký hiệu: O = có quyền | O* = chỉ dữ liệu của mình/được gán | X = không có quyền. Quyền UI phải luôn được kiểm soát lại tại API.</x:v>
      </x:c>
      <x:c r="I2" s="53" t="str">
        <x:v>Ký hiệu: O = có quyền | O* = chỉ dữ liệu của mình/được gán | X = không có quyền. Quyền UI phải luôn được kiểm soát lại tại API.</x:v>
      </x:c>
      <x:c r="J2" s="53" t="str">
        <x:v>Ký hiệu: O = có quyền | O* = chỉ dữ liệu của mình/được gán | X = không có quyền. Quyền UI phải luôn được kiểm soát lại tại API.</x:v>
      </x:c>
      <x:c r="K2" s="53" t="str">
        <x:v>Ký hiệu: O = có quyền | O* = chỉ dữ liệu của mình/được gán | X = không có quyền. Quyền UI phải luôn được kiểm soát lại tại API.</x:v>
      </x:c>
      <x:c r="L2" s="53" t="str">
        <x:v>Ký hiệu: O = có quyền | O* = chỉ dữ liệu của mình/được gán | X = không có quyền. Quyền UI phải luôn được kiểm soát lại tại API.</x:v>
      </x:c>
      <x:c r="M2" s="53" t="str">
        <x:v>Ký hiệu: O = có quyền | O* = chỉ dữ liệu của mình/được gán | X = không có quyền. Quyền UI phải luôn được kiểm soát lại tại API.</x:v>
      </x:c>
      <x:c r="N2" s="53" t="str">
        <x:v>Ký hiệu: O = có quyền | O* = chỉ dữ liệu của mình/được gán | X = không có quyền. Quyền UI phải luôn được kiểm soát lại tại API.</x:v>
      </x:c>
      <x:c r="O2" s="53" t="str">
        <x:v>Ký hiệu: O = có quyền | O* = chỉ dữ liệu của mình/được gán | X = không có quyền. Quyền UI phải luôn được kiểm soát lại tại API.</x:v>
      </x:c>
      <x:c r="P2" s="53" t="str">
        <x:v>Ký hiệu: O = có quyền | O* = chỉ dữ liệu của mình/được gán | X = không có quyền. Quyền UI phải luôn được kiểm soát lại tại API.</x:v>
      </x:c>
    </x:row>
    <x:row r="3">
      <x:c r="A3" s="57" t="str">
        <x:v>Chức năng nguồn</x:v>
      </x:c>
      <x:c r="B3" s="57" t="str">
        <x:v>Chức năng nguồn</x:v>
      </x:c>
      <x:c r="C3" s="57" t="str">
        <x:v>Chức năng nguồn</x:v>
      </x:c>
      <x:c r="D3" s="57" t="str">
        <x:v>Chức năng nguồn</x:v>
      </x:c>
      <x:c r="E3" s="57" t="str">
        <x:v>Chức năng nguồn</x:v>
      </x:c>
      <x:c r="F3" s="57" t="str">
        <x:v>Người dùng bên ngoài</x:v>
      </x:c>
      <x:c r="G3" s="57" t="str">
        <x:v>Người dùng bên ngoài</x:v>
      </x:c>
      <x:c r="H3" s="57" t="str">
        <x:v>Nhân sự nội bộ</x:v>
      </x:c>
      <x:c r="I3" s="57" t="str">
        <x:v>Nhân sự nội bộ</x:v>
      </x:c>
      <x:c r="J3" s="57" t="str">
        <x:v>Nhân sự nội bộ</x:v>
      </x:c>
      <x:c r="K3" s="57" t="str">
        <x:v>Nhân sự nội bộ</x:v>
      </x:c>
      <x:c r="L3" s="57" t="str">
        <x:v>Tích hợp kỹ thuật</x:v>
      </x:c>
      <x:c r="M3" s="57" t="str">
        <x:v>Tích hợp kỹ thuật</x:v>
      </x:c>
      <x:c r="N3" s="57" t="str">
        <x:v>Kiểm tra phủ quyền</x:v>
      </x:c>
      <x:c r="O3" s="57" t="str">
        <x:v>Kiểm tra phủ quyền</x:v>
      </x:c>
      <x:c r="P3" s="57" t="str">
        <x:v>Kiểm tra phủ quyền</x:v>
      </x:c>
    </x:row>
    <x:row r="4" ht="34" customHeight="1">
      <x:c r="A4" s="32" t="str">
        <x:v>STT</x:v>
      </x:c>
      <x:c r="B4" s="32" t="str">
        <x:v>Trace Code</x:v>
      </x:c>
      <x:c r="C4" s="32" t="str">
        <x:v>Đối tượng</x:v>
      </x:c>
      <x:c r="D4" s="32" t="str">
        <x:v>Module</x:v>
      </x:c>
      <x:c r="E4" s="32" t="str">
        <x:v>Chức năng</x:v>
      </x:c>
      <x:c r="F4" s="32" t="str">
        <x:v>Khách
vãng lai</x:v>
      </x:c>
      <x:c r="G4" s="32" t="str">
        <x:v>Khách
hàng</x:v>
      </x:c>
      <x:c r="H4" s="32" t="str">
        <x:v>Nhân viên
kho</x:v>
      </x:c>
      <x:c r="I4" s="32" t="str">
        <x:v>Nhân viên
CSKH</x:v>
      </x:c>
      <x:c r="J4" s="32" t="str">
        <x:v>Biên tập
nội dung</x:v>
      </x:c>
      <x:c r="K4" s="32" t="str">
        <x:v>Quản trị
viên</x:v>
      </x:c>
      <x:c r="L4" s="32" t="str">
        <x:v>Đơn vị
vận chuyển</x:v>
      </x:c>
      <x:c r="M4" s="32" t="str">
        <x:v>Hệ thống /
Đối tác</x:v>
      </x:c>
      <x:c r="N4" s="32" t="str">
        <x:v>Ghi chú phạm vi</x:v>
      </x:c>
      <x:c r="O4" s="32" t="str">
        <x:v>Số role
có quyền</x:v>
      </x:c>
      <x:c r="P4" s="32" t="str">
        <x:v>Kiểm tra</x:v>
      </x:c>
    </x:row>
    <x:row r="5" ht="40" customHeight="1">
      <x:c r="A5" s="36" t="n">
        <x:v>1</x:v>
      </x:c>
      <x:c r="B5" s="36" t="str">
        <x:v>SYS-BAS-01</x:v>
      </x:c>
      <x:c r="C5" s="36" t="str">
        <x:v>Hệ thống</x:v>
      </x:c>
      <x:c r="D5" s="36" t="str">
        <x:v>System</x:v>
      </x:c>
      <x:c r="E5" s="36" t="str">
        <x:v>Kiểm tra trạng thái API</x:v>
      </x:c>
      <x:c r="F5" s="58" t="str">
        <x:v>O</x:v>
      </x:c>
      <x:c r="G5" s="58" t="str">
        <x:v>O</x:v>
      </x:c>
      <x:c r="H5" s="58" t="str">
        <x:v>O</x:v>
      </x:c>
      <x:c r="I5" s="58" t="str">
        <x:v>O</x:v>
      </x:c>
      <x:c r="J5" s="58" t="str">
        <x:v>O</x:v>
      </x:c>
      <x:c r="K5" s="58" t="str">
        <x:v>O</x:v>
      </x:c>
      <x:c r="L5" s="58" t="str">
        <x:v>X</x:v>
      </x:c>
      <x:c r="M5" s="58" t="str">
        <x:v>X</x:v>
      </x:c>
      <x:c r="N5" s="36" t="str">
        <x:v>Tài nguyên công khai, chỉ trả dữ liệu active/published; không lộ dữ liệu quản trị.</x:v>
      </x:c>
      <x:c r="O5" s="58" t="n">
        <x:f>COUNTIF(F5:M5,"O")+COUNTIF(F5:M5,"O*")</x:f>
        <x:v>6</x:v>
      </x:c>
      <x:c r="P5" s="58" t="str">
        <x:f>IF(O5=0,"MỒ CÔI","Đã phủ")</x:f>
        <x:v>Đã phủ</x:v>
      </x:c>
    </x:row>
    <x:row r="6" ht="40" customHeight="1">
      <x:c r="A6" s="36" t="n">
        <x:v>2</x:v>
      </x:c>
      <x:c r="B6" s="36" t="str">
        <x:v>ACC-BAS-01</x:v>
      </x:c>
      <x:c r="C6" s="36" t="str">
        <x:v>Người dùng</x:v>
      </x:c>
      <x:c r="D6" s="36" t="str">
        <x:v>Tài khoản</x:v>
      </x:c>
      <x:c r="E6" s="36" t="str">
        <x:v>Đăng ký tài khoản</x:v>
      </x:c>
      <x:c r="F6" s="58" t="str">
        <x:v>O</x:v>
      </x:c>
      <x:c r="G6" s="58" t="str">
        <x:v>X</x:v>
      </x:c>
      <x:c r="H6" s="58" t="str">
        <x:v>X</x:v>
      </x:c>
      <x:c r="I6" s="58" t="str">
        <x:v>X</x:v>
      </x:c>
      <x:c r="J6" s="58" t="str">
        <x:v>X</x:v>
      </x:c>
      <x:c r="K6" s="58" t="str">
        <x:v>X</x:v>
      </x:c>
      <x:c r="L6" s="58" t="str">
        <x:v>X</x:v>
      </x:c>
      <x:c r="M6" s="58" t="str">
        <x:v>X</x:v>
      </x:c>
      <x:c r="N6" s="36" t="str">
        <x:v>Tài nguyên công khai, chỉ trả dữ liệu active/published; không lộ dữ liệu quản trị.</x:v>
      </x:c>
      <x:c r="O6" s="58" t="n">
        <x:f>COUNTIF(F6:M6,"O")+COUNTIF(F6:M6,"O*")</x:f>
        <x:v>1</x:v>
      </x:c>
      <x:c r="P6" s="58" t="str">
        <x:f>IF(O6=0,"MỒ CÔI","Đã phủ")</x:f>
        <x:v>Đã phủ</x:v>
      </x:c>
    </x:row>
    <x:row r="7" ht="40" customHeight="1">
      <x:c r="A7" s="36" t="n">
        <x:v>3</x:v>
      </x:c>
      <x:c r="B7" s="36" t="str">
        <x:v>ACC-BAS-02</x:v>
      </x:c>
      <x:c r="C7" s="36" t="str">
        <x:v>Người dùng</x:v>
      </x:c>
      <x:c r="D7" s="36" t="str">
        <x:v>Tài khoản</x:v>
      </x:c>
      <x:c r="E7" s="36" t="str">
        <x:v>Đăng nhập</x:v>
      </x:c>
      <x:c r="F7" s="58" t="str">
        <x:v>O</x:v>
      </x:c>
      <x:c r="G7" s="58" t="str">
        <x:v>X</x:v>
      </x:c>
      <x:c r="H7" s="58" t="str">
        <x:v>X</x:v>
      </x:c>
      <x:c r="I7" s="58" t="str">
        <x:v>X</x:v>
      </x:c>
      <x:c r="J7" s="58" t="str">
        <x:v>X</x:v>
      </x:c>
      <x:c r="K7" s="58" t="str">
        <x:v>X</x:v>
      </x:c>
      <x:c r="L7" s="58" t="str">
        <x:v>X</x:v>
      </x:c>
      <x:c r="M7" s="58" t="str">
        <x:v>X</x:v>
      </x:c>
      <x:c r="N7" s="36" t="str">
        <x:v>Tài nguyên công khai, chỉ trả dữ liệu active/published; không lộ dữ liệu quản trị.</x:v>
      </x:c>
      <x:c r="O7" s="58" t="n">
        <x:f>COUNTIF(F7:M7,"O")+COUNTIF(F7:M7,"O*")</x:f>
        <x:v>1</x:v>
      </x:c>
      <x:c r="P7" s="58" t="str">
        <x:f>IF(O7=0,"MỒ CÔI","Đã phủ")</x:f>
        <x:v>Đã phủ</x:v>
      </x:c>
    </x:row>
    <x:row r="8" ht="40" customHeight="1">
      <x:c r="A8" s="36" t="n">
        <x:v>4</x:v>
      </x:c>
      <x:c r="B8" s="36" t="str">
        <x:v>ACC-BAS-03</x:v>
      </x:c>
      <x:c r="C8" s="36" t="str">
        <x:v>Người dùng</x:v>
      </x:c>
      <x:c r="D8" s="36" t="str">
        <x:v>Tài khoản</x:v>
      </x:c>
      <x:c r="E8" s="36" t="str">
        <x:v>Đăng xuất</x:v>
      </x:c>
      <x:c r="F8" s="58" t="str">
        <x:v>X</x:v>
      </x:c>
      <x:c r="G8" s="58" t="str">
        <x:v>O*</x:v>
      </x:c>
      <x:c r="H8" s="58" t="str">
        <x:v>O*</x:v>
      </x:c>
      <x:c r="I8" s="58" t="str">
        <x:v>O*</x:v>
      </x:c>
      <x:c r="J8" s="58" t="str">
        <x:v>O*</x:v>
      </x:c>
      <x:c r="K8" s="58" t="str">
        <x:v>O*</x:v>
      </x:c>
      <x:c r="L8" s="58" t="str">
        <x:v>X</x:v>
      </x:c>
      <x:c r="M8" s="58" t="str">
        <x:v>X</x:v>
      </x:c>
      <x:c r="N8" s="36" t="str">
        <x:v>Người dùng xác thực chỉ được xem/thao tác bản ghi có user_id của chính mình hoặc được gán; API bắt buộc kiểm tra ownership.</x:v>
      </x:c>
      <x:c r="O8" s="58" t="n">
        <x:f>COUNTIF(F8:M8,"O")+COUNTIF(F8:M8,"O*")</x:f>
        <x:v>5</x:v>
      </x:c>
      <x:c r="P8" s="58" t="str">
        <x:f>IF(O8=0,"MỒ CÔI","Đã phủ")</x:f>
        <x:v>Đã phủ</x:v>
      </x:c>
    </x:row>
    <x:row r="9" ht="40" customHeight="1">
      <x:c r="A9" s="36" t="n">
        <x:v>5</x:v>
      </x:c>
      <x:c r="B9" s="36" t="str">
        <x:v>ACC-BAS-04</x:v>
      </x:c>
      <x:c r="C9" s="36" t="str">
        <x:v>Người dùng</x:v>
      </x:c>
      <x:c r="D9" s="36" t="str">
        <x:v>Hồ sơ</x:v>
      </x:c>
      <x:c r="E9" s="36" t="str">
        <x:v>Xem hồ sơ</x:v>
      </x:c>
      <x:c r="F9" s="58" t="str">
        <x:v>X</x:v>
      </x:c>
      <x:c r="G9" s="58" t="str">
        <x:v>O*</x:v>
      </x:c>
      <x:c r="H9" s="58" t="str">
        <x:v>O*</x:v>
      </x:c>
      <x:c r="I9" s="58" t="str">
        <x:v>O*</x:v>
      </x:c>
      <x:c r="J9" s="58" t="str">
        <x:v>O*</x:v>
      </x:c>
      <x:c r="K9" s="58" t="str">
        <x:v>O*</x:v>
      </x:c>
      <x:c r="L9" s="58" t="str">
        <x:v>X</x:v>
      </x:c>
      <x:c r="M9" s="58" t="str">
        <x:v>X</x:v>
      </x:c>
      <x:c r="N9" s="36" t="str">
        <x:v>Người dùng xác thực chỉ được xem/thao tác bản ghi có user_id của chính mình hoặc được gán; API bắt buộc kiểm tra ownership.</x:v>
      </x:c>
      <x:c r="O9" s="58" t="n">
        <x:f>COUNTIF(F9:M9,"O")+COUNTIF(F9:M9,"O*")</x:f>
        <x:v>5</x:v>
      </x:c>
      <x:c r="P9" s="58" t="str">
        <x:f>IF(O9=0,"MỒ CÔI","Đã phủ")</x:f>
        <x:v>Đã phủ</x:v>
      </x:c>
    </x:row>
    <x:row r="10" ht="40" customHeight="1">
      <x:c r="A10" s="36" t="n">
        <x:v>6</x:v>
      </x:c>
      <x:c r="B10" s="36" t="str">
        <x:v>ACC-BAS-05</x:v>
      </x:c>
      <x:c r="C10" s="36" t="str">
        <x:v>Người dùng</x:v>
      </x:c>
      <x:c r="D10" s="36" t="str">
        <x:v>Hồ sơ</x:v>
      </x:c>
      <x:c r="E10" s="36" t="str">
        <x:v>Cập nhật hồ sơ</x:v>
      </x:c>
      <x:c r="F10" s="58" t="str">
        <x:v>X</x:v>
      </x:c>
      <x:c r="G10" s="58" t="str">
        <x:v>O*</x:v>
      </x:c>
      <x:c r="H10" s="58" t="str">
        <x:v>O*</x:v>
      </x:c>
      <x:c r="I10" s="58" t="str">
        <x:v>O*</x:v>
      </x:c>
      <x:c r="J10" s="58" t="str">
        <x:v>O*</x:v>
      </x:c>
      <x:c r="K10" s="58" t="str">
        <x:v>O*</x:v>
      </x:c>
      <x:c r="L10" s="58" t="str">
        <x:v>X</x:v>
      </x:c>
      <x:c r="M10" s="58" t="str">
        <x:v>X</x:v>
      </x:c>
      <x:c r="N10" s="36" t="str">
        <x:v>Người dùng xác thực chỉ được xem/thao tác bản ghi có user_id của chính mình hoặc được gán; API bắt buộc kiểm tra ownership.</x:v>
      </x:c>
      <x:c r="O10" s="58" t="n">
        <x:f>COUNTIF(F10:M10,"O")+COUNTIF(F10:M10,"O*")</x:f>
        <x:v>5</x:v>
      </x:c>
      <x:c r="P10" s="58" t="str">
        <x:f>IF(O10=0,"MỒ CÔI","Đã phủ")</x:f>
        <x:v>Đã phủ</x:v>
      </x:c>
    </x:row>
    <x:row r="11" ht="40" customHeight="1">
      <x:c r="A11" s="36" t="n">
        <x:v>7</x:v>
      </x:c>
      <x:c r="B11" s="36" t="str">
        <x:v>CAT-BAS-01</x:v>
      </x:c>
      <x:c r="C11" s="36" t="str">
        <x:v>Danh mục</x:v>
      </x:c>
      <x:c r="D11" s="36" t="str">
        <x:v>Catalog</x:v>
      </x:c>
      <x:c r="E11" s="36" t="str">
        <x:v>Xem danh mục đang sử dụng</x:v>
      </x:c>
      <x:c r="F11" s="58" t="str">
        <x:v>O</x:v>
      </x:c>
      <x:c r="G11" s="58" t="str">
        <x:v>O</x:v>
      </x:c>
      <x:c r="H11" s="58" t="str">
        <x:v>O</x:v>
      </x:c>
      <x:c r="I11" s="58" t="str">
        <x:v>O</x:v>
      </x:c>
      <x:c r="J11" s="58" t="str">
        <x:v>O</x:v>
      </x:c>
      <x:c r="K11" s="58" t="str">
        <x:v>O</x:v>
      </x:c>
      <x:c r="L11" s="58" t="str">
        <x:v>X</x:v>
      </x:c>
      <x:c r="M11" s="58" t="str">
        <x:v>X</x:v>
      </x:c>
      <x:c r="N11" s="36" t="str">
        <x:v>Tài nguyên công khai, chỉ trả dữ liệu active/published; không lộ dữ liệu quản trị.</x:v>
      </x:c>
      <x:c r="O11" s="58" t="n">
        <x:f>COUNTIF(F11:M11,"O")+COUNTIF(F11:M11,"O*")</x:f>
        <x:v>6</x:v>
      </x:c>
      <x:c r="P11" s="58" t="str">
        <x:f>IF(O11=0,"MỒ CÔI","Đã phủ")</x:f>
        <x:v>Đã phủ</x:v>
      </x:c>
    </x:row>
    <x:row r="12" ht="40" customHeight="1">
      <x:c r="A12" s="36" t="n">
        <x:v>8</x:v>
      </x:c>
      <x:c r="B12" s="36" t="str">
        <x:v>CAT-BAS-02</x:v>
      </x:c>
      <x:c r="C12" s="36" t="str">
        <x:v>Sản phẩm</x:v>
      </x:c>
      <x:c r="D12" s="36" t="str">
        <x:v>Catalog</x:v>
      </x:c>
      <x:c r="E12" s="36" t="str">
        <x:v>Tìm kiếm sản phẩm</x:v>
      </x:c>
      <x:c r="F12" s="58" t="str">
        <x:v>O</x:v>
      </x:c>
      <x:c r="G12" s="58" t="str">
        <x:v>O</x:v>
      </x:c>
      <x:c r="H12" s="58" t="str">
        <x:v>O</x:v>
      </x:c>
      <x:c r="I12" s="58" t="str">
        <x:v>O</x:v>
      </x:c>
      <x:c r="J12" s="58" t="str">
        <x:v>O</x:v>
      </x:c>
      <x:c r="K12" s="58" t="str">
        <x:v>O</x:v>
      </x:c>
      <x:c r="L12" s="58" t="str">
        <x:v>X</x:v>
      </x:c>
      <x:c r="M12" s="58" t="str">
        <x:v>X</x:v>
      </x:c>
      <x:c r="N12" s="36" t="str">
        <x:v>Tài nguyên công khai, chỉ trả dữ liệu active/published; không lộ dữ liệu quản trị.</x:v>
      </x:c>
      <x:c r="O12" s="58" t="n">
        <x:f>COUNTIF(F12:M12,"O")+COUNTIF(F12:M12,"O*")</x:f>
        <x:v>6</x:v>
      </x:c>
      <x:c r="P12" s="58" t="str">
        <x:f>IF(O12=0,"MỒ CÔI","Đã phủ")</x:f>
        <x:v>Đã phủ</x:v>
      </x:c>
    </x:row>
    <x:row r="13" ht="40" customHeight="1">
      <x:c r="A13" s="36" t="n">
        <x:v>9</x:v>
      </x:c>
      <x:c r="B13" s="36" t="str">
        <x:v>CAT-BAS-03</x:v>
      </x:c>
      <x:c r="C13" s="36" t="str">
        <x:v>Sản phẩm</x:v>
      </x:c>
      <x:c r="D13" s="36" t="str">
        <x:v>Catalog</x:v>
      </x:c>
      <x:c r="E13" s="36" t="str">
        <x:v>Lọc theo danh mục và khoảng giá</x:v>
      </x:c>
      <x:c r="F13" s="58" t="str">
        <x:v>O</x:v>
      </x:c>
      <x:c r="G13" s="58" t="str">
        <x:v>O</x:v>
      </x:c>
      <x:c r="H13" s="58" t="str">
        <x:v>O</x:v>
      </x:c>
      <x:c r="I13" s="58" t="str">
        <x:v>O</x:v>
      </x:c>
      <x:c r="J13" s="58" t="str">
        <x:v>O</x:v>
      </x:c>
      <x:c r="K13" s="58" t="str">
        <x:v>O</x:v>
      </x:c>
      <x:c r="L13" s="58" t="str">
        <x:v>X</x:v>
      </x:c>
      <x:c r="M13" s="58" t="str">
        <x:v>X</x:v>
      </x:c>
      <x:c r="N13" s="36" t="str">
        <x:v>Tài nguyên công khai, chỉ trả dữ liệu active/published; không lộ dữ liệu quản trị.</x:v>
      </x:c>
      <x:c r="O13" s="58" t="n">
        <x:f>COUNTIF(F13:M13,"O")+COUNTIF(F13:M13,"O*")</x:f>
        <x:v>6</x:v>
      </x:c>
      <x:c r="P13" s="58" t="str">
        <x:f>IF(O13=0,"MỒ CÔI","Đã phủ")</x:f>
        <x:v>Đã phủ</x:v>
      </x:c>
    </x:row>
    <x:row r="14" ht="40" customHeight="1">
      <x:c r="A14" s="36" t="n">
        <x:v>10</x:v>
      </x:c>
      <x:c r="B14" s="36" t="str">
        <x:v>CAT-BAS-04</x:v>
      </x:c>
      <x:c r="C14" s="36" t="str">
        <x:v>Sản phẩm</x:v>
      </x:c>
      <x:c r="D14" s="36" t="str">
        <x:v>Catalog</x:v>
      </x:c>
      <x:c r="E14" s="36" t="str">
        <x:v>Sắp xếp và phân trang</x:v>
      </x:c>
      <x:c r="F14" s="58" t="str">
        <x:v>O</x:v>
      </x:c>
      <x:c r="G14" s="58" t="str">
        <x:v>O</x:v>
      </x:c>
      <x:c r="H14" s="58" t="str">
        <x:v>O</x:v>
      </x:c>
      <x:c r="I14" s="58" t="str">
        <x:v>O</x:v>
      </x:c>
      <x:c r="J14" s="58" t="str">
        <x:v>O</x:v>
      </x:c>
      <x:c r="K14" s="58" t="str">
        <x:v>O</x:v>
      </x:c>
      <x:c r="L14" s="58" t="str">
        <x:v>X</x:v>
      </x:c>
      <x:c r="M14" s="58" t="str">
        <x:v>X</x:v>
      </x:c>
      <x:c r="N14" s="36" t="str">
        <x:v>Tài nguyên công khai, chỉ trả dữ liệu active/published; không lộ dữ liệu quản trị.</x:v>
      </x:c>
      <x:c r="O14" s="58" t="n">
        <x:f>COUNTIF(F14:M14,"O")+COUNTIF(F14:M14,"O*")</x:f>
        <x:v>6</x:v>
      </x:c>
      <x:c r="P14" s="58" t="str">
        <x:f>IF(O14=0,"MỒ CÔI","Đã phủ")</x:f>
        <x:v>Đã phủ</x:v>
      </x:c>
    </x:row>
    <x:row r="15" ht="40" customHeight="1">
      <x:c r="A15" s="36" t="n">
        <x:v>11</x:v>
      </x:c>
      <x:c r="B15" s="36" t="str">
        <x:v>CAT-BAS-05</x:v>
      </x:c>
      <x:c r="C15" s="36" t="str">
        <x:v>Sản phẩm</x:v>
      </x:c>
      <x:c r="D15" s="36" t="str">
        <x:v>Catalog</x:v>
      </x:c>
      <x:c r="E15" s="36" t="str">
        <x:v>Xem chi tiết sản phẩm</x:v>
      </x:c>
      <x:c r="F15" s="58" t="str">
        <x:v>O</x:v>
      </x:c>
      <x:c r="G15" s="58" t="str">
        <x:v>O</x:v>
      </x:c>
      <x:c r="H15" s="58" t="str">
        <x:v>O</x:v>
      </x:c>
      <x:c r="I15" s="58" t="str">
        <x:v>O</x:v>
      </x:c>
      <x:c r="J15" s="58" t="str">
        <x:v>O</x:v>
      </x:c>
      <x:c r="K15" s="58" t="str">
        <x:v>O</x:v>
      </x:c>
      <x:c r="L15" s="58" t="str">
        <x:v>X</x:v>
      </x:c>
      <x:c r="M15" s="58" t="str">
        <x:v>X</x:v>
      </x:c>
      <x:c r="N15" s="36" t="str">
        <x:v>Tài nguyên công khai, chỉ trả dữ liệu active/published; không lộ dữ liệu quản trị.</x:v>
      </x:c>
      <x:c r="O15" s="58" t="n">
        <x:f>COUNTIF(F15:M15,"O")+COUNTIF(F15:M15,"O*")</x:f>
        <x:v>6</x:v>
      </x:c>
      <x:c r="P15" s="58" t="str">
        <x:f>IF(O15=0,"MỒ CÔI","Đã phủ")</x:f>
        <x:v>Đã phủ</x:v>
      </x:c>
    </x:row>
    <x:row r="16" ht="40" customHeight="1">
      <x:c r="A16" s="36" t="n">
        <x:v>12</x:v>
      </x:c>
      <x:c r="B16" s="36" t="str">
        <x:v>CON-BAS-01</x:v>
      </x:c>
      <x:c r="C16" s="36" t="str">
        <x:v>Bài viết</x:v>
      </x:c>
      <x:c r="D16" s="36" t="str">
        <x:v>Nội dung</x:v>
      </x:c>
      <x:c r="E16" s="36" t="str">
        <x:v>Xem danh sách bài viết</x:v>
      </x:c>
      <x:c r="F16" s="58" t="str">
        <x:v>O</x:v>
      </x:c>
      <x:c r="G16" s="58" t="str">
        <x:v>O</x:v>
      </x:c>
      <x:c r="H16" s="58" t="str">
        <x:v>X</x:v>
      </x:c>
      <x:c r="I16" s="58" t="str">
        <x:v>X</x:v>
      </x:c>
      <x:c r="J16" s="58" t="str">
        <x:v>O</x:v>
      </x:c>
      <x:c r="K16" s="58" t="str">
        <x:v>O</x:v>
      </x:c>
      <x:c r="L16" s="58" t="str">
        <x:v>X</x:v>
      </x:c>
      <x:c r="M16" s="58" t="str">
        <x:v>X</x:v>
      </x:c>
      <x:c r="N16" s="36" t="str">
        <x:v>Tài nguyên công khai, chỉ trả dữ liệu active/published; không lộ dữ liệu quản trị.</x:v>
      </x:c>
      <x:c r="O16" s="58" t="n">
        <x:f>COUNTIF(F16:M16,"O")+COUNTIF(F16:M16,"O*")</x:f>
        <x:v>4</x:v>
      </x:c>
      <x:c r="P16" s="58" t="str">
        <x:f>IF(O16=0,"MỒ CÔI","Đã phủ")</x:f>
        <x:v>Đã phủ</x:v>
      </x:c>
    </x:row>
    <x:row r="17" ht="40" customHeight="1">
      <x:c r="A17" s="36" t="n">
        <x:v>13</x:v>
      </x:c>
      <x:c r="B17" s="36" t="str">
        <x:v>WIS-BAS-01</x:v>
      </x:c>
      <x:c r="C17" s="36" t="str">
        <x:v>Wishlist</x:v>
      </x:c>
      <x:c r="D17" s="36" t="str">
        <x:v>Yêu thích</x:v>
      </x:c>
      <x:c r="E17" s="36" t="str">
        <x:v>Xem danh sách yêu thích</x:v>
      </x:c>
      <x:c r="F17" s="58" t="str">
        <x:v>X</x:v>
      </x:c>
      <x:c r="G17" s="58" t="str">
        <x:v>O*</x:v>
      </x:c>
      <x:c r="H17" s="58" t="str">
        <x:v>O*</x:v>
      </x:c>
      <x:c r="I17" s="58" t="str">
        <x:v>O*</x:v>
      </x:c>
      <x:c r="J17" s="58" t="str">
        <x:v>O*</x:v>
      </x:c>
      <x:c r="K17" s="58" t="str">
        <x:v>O*</x:v>
      </x:c>
      <x:c r="L17" s="58" t="str">
        <x:v>X</x:v>
      </x:c>
      <x:c r="M17" s="58" t="str">
        <x:v>X</x:v>
      </x:c>
      <x:c r="N17" s="36" t="str">
        <x:v>Người dùng xác thực chỉ được xem/thao tác bản ghi có user_id của chính mình hoặc được gán; API bắt buộc kiểm tra ownership.</x:v>
      </x:c>
      <x:c r="O17" s="58" t="n">
        <x:f>COUNTIF(F17:M17,"O")+COUNTIF(F17:M17,"O*")</x:f>
        <x:v>5</x:v>
      </x:c>
      <x:c r="P17" s="58" t="str">
        <x:f>IF(O17=0,"MỒ CÔI","Đã phủ")</x:f>
        <x:v>Đã phủ</x:v>
      </x:c>
    </x:row>
    <x:row r="18" ht="40" customHeight="1">
      <x:c r="A18" s="36" t="n">
        <x:v>14</x:v>
      </x:c>
      <x:c r="B18" s="36" t="str">
        <x:v>WIS-BAS-02</x:v>
      </x:c>
      <x:c r="C18" s="36" t="str">
        <x:v>Wishlist</x:v>
      </x:c>
      <x:c r="D18" s="36" t="str">
        <x:v>Yêu thích</x:v>
      </x:c>
      <x:c r="E18" s="36" t="str">
        <x:v>Thêm sản phẩm yêu thích</x:v>
      </x:c>
      <x:c r="F18" s="58" t="str">
        <x:v>X</x:v>
      </x:c>
      <x:c r="G18" s="58" t="str">
        <x:v>O*</x:v>
      </x:c>
      <x:c r="H18" s="58" t="str">
        <x:v>O*</x:v>
      </x:c>
      <x:c r="I18" s="58" t="str">
        <x:v>O*</x:v>
      </x:c>
      <x:c r="J18" s="58" t="str">
        <x:v>O*</x:v>
      </x:c>
      <x:c r="K18" s="58" t="str">
        <x:v>O*</x:v>
      </x:c>
      <x:c r="L18" s="58" t="str">
        <x:v>X</x:v>
      </x:c>
      <x:c r="M18" s="58" t="str">
        <x:v>X</x:v>
      </x:c>
      <x:c r="N18" s="36" t="str">
        <x:v>Người dùng xác thực chỉ được xem/thao tác bản ghi có user_id của chính mình hoặc được gán; API bắt buộc kiểm tra ownership.</x:v>
      </x:c>
      <x:c r="O18" s="58" t="n">
        <x:f>COUNTIF(F18:M18,"O")+COUNTIF(F18:M18,"O*")</x:f>
        <x:v>5</x:v>
      </x:c>
      <x:c r="P18" s="58" t="str">
        <x:f>IF(O18=0,"MỒ CÔI","Đã phủ")</x:f>
        <x:v>Đã phủ</x:v>
      </x:c>
    </x:row>
    <x:row r="19" ht="40" customHeight="1">
      <x:c r="A19" s="36" t="n">
        <x:v>15</x:v>
      </x:c>
      <x:c r="B19" s="36" t="str">
        <x:v>WIS-BAS-03</x:v>
      </x:c>
      <x:c r="C19" s="36" t="str">
        <x:v>Wishlist</x:v>
      </x:c>
      <x:c r="D19" s="36" t="str">
        <x:v>Yêu thích</x:v>
      </x:c>
      <x:c r="E19" s="36" t="str">
        <x:v>Xóa sản phẩm yêu thích</x:v>
      </x:c>
      <x:c r="F19" s="58" t="str">
        <x:v>X</x:v>
      </x:c>
      <x:c r="G19" s="58" t="str">
        <x:v>O*</x:v>
      </x:c>
      <x:c r="H19" s="58" t="str">
        <x:v>O*</x:v>
      </x:c>
      <x:c r="I19" s="58" t="str">
        <x:v>O*</x:v>
      </x:c>
      <x:c r="J19" s="58" t="str">
        <x:v>O*</x:v>
      </x:c>
      <x:c r="K19" s="58" t="str">
        <x:v>O*</x:v>
      </x:c>
      <x:c r="L19" s="58" t="str">
        <x:v>X</x:v>
      </x:c>
      <x:c r="M19" s="58" t="str">
        <x:v>X</x:v>
      </x:c>
      <x:c r="N19" s="36" t="str">
        <x:v>Người dùng xác thực chỉ được xem/thao tác bản ghi có user_id của chính mình hoặc được gán; API bắt buộc kiểm tra ownership.</x:v>
      </x:c>
      <x:c r="O19" s="58" t="n">
        <x:f>COUNTIF(F19:M19,"O")+COUNTIF(F19:M19,"O*")</x:f>
        <x:v>5</x:v>
      </x:c>
      <x:c r="P19" s="58" t="str">
        <x:f>IF(O19=0,"MỒ CÔI","Đã phủ")</x:f>
        <x:v>Đã phủ</x:v>
      </x:c>
    </x:row>
    <x:row r="20" ht="40" customHeight="1">
      <x:c r="A20" s="36" t="n">
        <x:v>16</x:v>
      </x:c>
      <x:c r="B20" s="36" t="str">
        <x:v>CAR-BAS-01</x:v>
      </x:c>
      <x:c r="C20" s="36" t="str">
        <x:v>Giỏ hàng</x:v>
      </x:c>
      <x:c r="D20" s="36" t="str">
        <x:v>Giỏ hàng</x:v>
      </x:c>
      <x:c r="E20" s="36" t="str">
        <x:v>Xem giỏ hàng</x:v>
      </x:c>
      <x:c r="F20" s="58" t="str">
        <x:v>X</x:v>
      </x:c>
      <x:c r="G20" s="58" t="str">
        <x:v>O*</x:v>
      </x:c>
      <x:c r="H20" s="58" t="str">
        <x:v>O*</x:v>
      </x:c>
      <x:c r="I20" s="58" t="str">
        <x:v>O*</x:v>
      </x:c>
      <x:c r="J20" s="58" t="str">
        <x:v>O*</x:v>
      </x:c>
      <x:c r="K20" s="58" t="str">
        <x:v>O*</x:v>
      </x:c>
      <x:c r="L20" s="58" t="str">
        <x:v>X</x:v>
      </x:c>
      <x:c r="M20" s="58" t="str">
        <x:v>X</x:v>
      </x:c>
      <x:c r="N20" s="36" t="str">
        <x:v>Người dùng xác thực chỉ được xem/thao tác bản ghi có user_id của chính mình hoặc được gán; API bắt buộc kiểm tra ownership.</x:v>
      </x:c>
      <x:c r="O20" s="58" t="n">
        <x:f>COUNTIF(F20:M20,"O")+COUNTIF(F20:M20,"O*")</x:f>
        <x:v>5</x:v>
      </x:c>
      <x:c r="P20" s="58" t="str">
        <x:f>IF(O20=0,"MỒ CÔI","Đã phủ")</x:f>
        <x:v>Đã phủ</x:v>
      </x:c>
    </x:row>
    <x:row r="21" ht="40" customHeight="1">
      <x:c r="A21" s="36" t="n">
        <x:v>17</x:v>
      </x:c>
      <x:c r="B21" s="36" t="str">
        <x:v>CAR-BAS-02</x:v>
      </x:c>
      <x:c r="C21" s="36" t="str">
        <x:v>Giỏ hàng</x:v>
      </x:c>
      <x:c r="D21" s="36" t="str">
        <x:v>Giỏ hàng</x:v>
      </x:c>
      <x:c r="E21" s="36" t="str">
        <x:v>Thêm sản phẩm vào giỏ</x:v>
      </x:c>
      <x:c r="F21" s="58" t="str">
        <x:v>X</x:v>
      </x:c>
      <x:c r="G21" s="58" t="str">
        <x:v>O*</x:v>
      </x:c>
      <x:c r="H21" s="58" t="str">
        <x:v>O*</x:v>
      </x:c>
      <x:c r="I21" s="58" t="str">
        <x:v>O*</x:v>
      </x:c>
      <x:c r="J21" s="58" t="str">
        <x:v>O*</x:v>
      </x:c>
      <x:c r="K21" s="58" t="str">
        <x:v>O*</x:v>
      </x:c>
      <x:c r="L21" s="58" t="str">
        <x:v>X</x:v>
      </x:c>
      <x:c r="M21" s="58" t="str">
        <x:v>X</x:v>
      </x:c>
      <x:c r="N21" s="36" t="str">
        <x:v>Người dùng xác thực chỉ được xem/thao tác bản ghi có user_id của chính mình hoặc được gán; API bắt buộc kiểm tra ownership.</x:v>
      </x:c>
      <x:c r="O21" s="58" t="n">
        <x:f>COUNTIF(F21:M21,"O")+COUNTIF(F21:M21,"O*")</x:f>
        <x:v>5</x:v>
      </x:c>
      <x:c r="P21" s="58" t="str">
        <x:f>IF(O21=0,"MỒ CÔI","Đã phủ")</x:f>
        <x:v>Đã phủ</x:v>
      </x:c>
    </x:row>
    <x:row r="22" ht="40" customHeight="1">
      <x:c r="A22" s="36" t="n">
        <x:v>18</x:v>
      </x:c>
      <x:c r="B22" s="36" t="str">
        <x:v>CAR-BAS-03</x:v>
      </x:c>
      <x:c r="C22" s="36" t="str">
        <x:v>Giỏ hàng</x:v>
      </x:c>
      <x:c r="D22" s="36" t="str">
        <x:v>Giỏ hàng</x:v>
      </x:c>
      <x:c r="E22" s="36" t="str">
        <x:v>Cập nhật số lượng</x:v>
      </x:c>
      <x:c r="F22" s="58" t="str">
        <x:v>X</x:v>
      </x:c>
      <x:c r="G22" s="58" t="str">
        <x:v>O*</x:v>
      </x:c>
      <x:c r="H22" s="58" t="str">
        <x:v>O*</x:v>
      </x:c>
      <x:c r="I22" s="58" t="str">
        <x:v>O*</x:v>
      </x:c>
      <x:c r="J22" s="58" t="str">
        <x:v>O*</x:v>
      </x:c>
      <x:c r="K22" s="58" t="str">
        <x:v>O*</x:v>
      </x:c>
      <x:c r="L22" s="58" t="str">
        <x:v>X</x:v>
      </x:c>
      <x:c r="M22" s="58" t="str">
        <x:v>X</x:v>
      </x:c>
      <x:c r="N22" s="36" t="str">
        <x:v>Người dùng xác thực chỉ được xem/thao tác bản ghi có user_id của chính mình hoặc được gán; API bắt buộc kiểm tra ownership.</x:v>
      </x:c>
      <x:c r="O22" s="58" t="n">
        <x:f>COUNTIF(F22:M22,"O")+COUNTIF(F22:M22,"O*")</x:f>
        <x:v>5</x:v>
      </x:c>
      <x:c r="P22" s="58" t="str">
        <x:f>IF(O22=0,"MỒ CÔI","Đã phủ")</x:f>
        <x:v>Đã phủ</x:v>
      </x:c>
    </x:row>
    <x:row r="23" ht="40" customHeight="1">
      <x:c r="A23" s="36" t="n">
        <x:v>19</x:v>
      </x:c>
      <x:c r="B23" s="36" t="str">
        <x:v>CAR-BAS-04</x:v>
      </x:c>
      <x:c r="C23" s="36" t="str">
        <x:v>Giỏ hàng</x:v>
      </x:c>
      <x:c r="D23" s="36" t="str">
        <x:v>Giỏ hàng</x:v>
      </x:c>
      <x:c r="E23" s="36" t="str">
        <x:v>Xóa sản phẩm khỏi giỏ</x:v>
      </x:c>
      <x:c r="F23" s="58" t="str">
        <x:v>X</x:v>
      </x:c>
      <x:c r="G23" s="58" t="str">
        <x:v>O*</x:v>
      </x:c>
      <x:c r="H23" s="58" t="str">
        <x:v>O*</x:v>
      </x:c>
      <x:c r="I23" s="58" t="str">
        <x:v>O*</x:v>
      </x:c>
      <x:c r="J23" s="58" t="str">
        <x:v>O*</x:v>
      </x:c>
      <x:c r="K23" s="58" t="str">
        <x:v>O*</x:v>
      </x:c>
      <x:c r="L23" s="58" t="str">
        <x:v>X</x:v>
      </x:c>
      <x:c r="M23" s="58" t="str">
        <x:v>X</x:v>
      </x:c>
      <x:c r="N23" s="36" t="str">
        <x:v>Người dùng xác thực chỉ được xem/thao tác bản ghi có user_id của chính mình hoặc được gán; API bắt buộc kiểm tra ownership.</x:v>
      </x:c>
      <x:c r="O23" s="58" t="n">
        <x:f>COUNTIF(F23:M23,"O")+COUNTIF(F23:M23,"O*")</x:f>
        <x:v>5</x:v>
      </x:c>
      <x:c r="P23" s="58" t="str">
        <x:f>IF(O23=0,"MỒ CÔI","Đã phủ")</x:f>
        <x:v>Đã phủ</x:v>
      </x:c>
    </x:row>
    <x:row r="24" ht="40" customHeight="1">
      <x:c r="A24" s="36" t="n">
        <x:v>20</x:v>
      </x:c>
      <x:c r="B24" s="36" t="str">
        <x:v>ORD-WF-01</x:v>
      </x:c>
      <x:c r="C24" s="36" t="str">
        <x:v>Đơn hàng</x:v>
      </x:c>
      <x:c r="D24" s="36" t="str">
        <x:v>Đặt hàng</x:v>
      </x:c>
      <x:c r="E24" s="36" t="str">
        <x:v>Checkout</x:v>
      </x:c>
      <x:c r="F24" s="58" t="str">
        <x:v>X</x:v>
      </x:c>
      <x:c r="G24" s="58" t="str">
        <x:v>O*</x:v>
      </x:c>
      <x:c r="H24" s="58" t="str">
        <x:v>O*</x:v>
      </x:c>
      <x:c r="I24" s="58" t="str">
        <x:v>O*</x:v>
      </x:c>
      <x:c r="J24" s="58" t="str">
        <x:v>O*</x:v>
      </x:c>
      <x:c r="K24" s="58" t="str">
        <x:v>O*</x:v>
      </x:c>
      <x:c r="L24" s="58" t="str">
        <x:v>X</x:v>
      </x:c>
      <x:c r="M24" s="58" t="str">
        <x:v>X</x:v>
      </x:c>
      <x:c r="N24" s="36" t="str">
        <x:v>Người dùng xác thực chỉ được xem/thao tác bản ghi có user_id của chính mình hoặc được gán; API bắt buộc kiểm tra ownership.</x:v>
      </x:c>
      <x:c r="O24" s="58" t="n">
        <x:f>COUNTIF(F24:M24,"O")+COUNTIF(F24:M24,"O*")</x:f>
        <x:v>5</x:v>
      </x:c>
      <x:c r="P24" s="58" t="str">
        <x:f>IF(O24=0,"MỒ CÔI","Đã phủ")</x:f>
        <x:v>Đã phủ</x:v>
      </x:c>
    </x:row>
    <x:row r="25" ht="40" customHeight="1">
      <x:c r="A25" s="36" t="n">
        <x:v>21</x:v>
      </x:c>
      <x:c r="B25" s="36" t="str">
        <x:v>ORD-BAS-01</x:v>
      </x:c>
      <x:c r="C25" s="36" t="str">
        <x:v>Đơn hàng</x:v>
      </x:c>
      <x:c r="D25" s="36" t="str">
        <x:v>Đơn hàng</x:v>
      </x:c>
      <x:c r="E25" s="36" t="str">
        <x:v>Xem lịch sử đơn</x:v>
      </x:c>
      <x:c r="F25" s="58" t="str">
        <x:v>X</x:v>
      </x:c>
      <x:c r="G25" s="58" t="str">
        <x:v>O*</x:v>
      </x:c>
      <x:c r="H25" s="58" t="str">
        <x:v>O*</x:v>
      </x:c>
      <x:c r="I25" s="58" t="str">
        <x:v>O*</x:v>
      </x:c>
      <x:c r="J25" s="58" t="str">
        <x:v>O*</x:v>
      </x:c>
      <x:c r="K25" s="58" t="str">
        <x:v>O*</x:v>
      </x:c>
      <x:c r="L25" s="58" t="str">
        <x:v>X</x:v>
      </x:c>
      <x:c r="M25" s="58" t="str">
        <x:v>X</x:v>
      </x:c>
      <x:c r="N25" s="36" t="str">
        <x:v>Người dùng xác thực chỉ được xem/thao tác bản ghi có user_id của chính mình hoặc được gán; API bắt buộc kiểm tra ownership.</x:v>
      </x:c>
      <x:c r="O25" s="58" t="n">
        <x:f>COUNTIF(F25:M25,"O")+COUNTIF(F25:M25,"O*")</x:f>
        <x:v>5</x:v>
      </x:c>
      <x:c r="P25" s="58" t="str">
        <x:f>IF(O25=0,"MỒ CÔI","Đã phủ")</x:f>
        <x:v>Đã phủ</x:v>
      </x:c>
    </x:row>
    <x:row r="26" ht="40" customHeight="1">
      <x:c r="A26" s="36" t="n">
        <x:v>22</x:v>
      </x:c>
      <x:c r="B26" s="36" t="str">
        <x:v>ORD-BAS-02</x:v>
      </x:c>
      <x:c r="C26" s="36" t="str">
        <x:v>Đơn hàng</x:v>
      </x:c>
      <x:c r="D26" s="36" t="str">
        <x:v>Đơn hàng</x:v>
      </x:c>
      <x:c r="E26" s="36" t="str">
        <x:v>Xem chi tiết và theo dõi đơn</x:v>
      </x:c>
      <x:c r="F26" s="58" t="str">
        <x:v>X</x:v>
      </x:c>
      <x:c r="G26" s="58" t="str">
        <x:v>O*</x:v>
      </x:c>
      <x:c r="H26" s="58" t="str">
        <x:v>O*</x:v>
      </x:c>
      <x:c r="I26" s="58" t="str">
        <x:v>O*</x:v>
      </x:c>
      <x:c r="J26" s="58" t="str">
        <x:v>O*</x:v>
      </x:c>
      <x:c r="K26" s="58" t="str">
        <x:v>O*</x:v>
      </x:c>
      <x:c r="L26" s="58" t="str">
        <x:v>X</x:v>
      </x:c>
      <x:c r="M26" s="58" t="str">
        <x:v>X</x:v>
      </x:c>
      <x:c r="N26" s="36" t="str">
        <x:v>Người dùng xác thực chỉ được xem/thao tác bản ghi có user_id của chính mình hoặc được gán; API bắt buộc kiểm tra ownership.</x:v>
      </x:c>
      <x:c r="O26" s="58" t="n">
        <x:f>COUNTIF(F26:M26,"O")+COUNTIF(F26:M26,"O*")</x:f>
        <x:v>5</x:v>
      </x:c>
      <x:c r="P26" s="58" t="str">
        <x:f>IF(O26=0,"MỒ CÔI","Đã phủ")</x:f>
        <x:v>Đã phủ</x:v>
      </x:c>
    </x:row>
    <x:row r="27" ht="40" customHeight="1">
      <x:c r="A27" s="36" t="n">
        <x:v>23</x:v>
      </x:c>
      <x:c r="B27" s="36" t="str">
        <x:v>ORD-WF-02</x:v>
      </x:c>
      <x:c r="C27" s="36" t="str">
        <x:v>Đơn hàng</x:v>
      </x:c>
      <x:c r="D27" s="36" t="str">
        <x:v>Đơn hàng</x:v>
      </x:c>
      <x:c r="E27" s="36" t="str">
        <x:v>Hủy đơn trước giao</x:v>
      </x:c>
      <x:c r="F27" s="58" t="str">
        <x:v>X</x:v>
      </x:c>
      <x:c r="G27" s="58" t="str">
        <x:v>O*</x:v>
      </x:c>
      <x:c r="H27" s="58" t="str">
        <x:v>O*</x:v>
      </x:c>
      <x:c r="I27" s="58" t="str">
        <x:v>O*</x:v>
      </x:c>
      <x:c r="J27" s="58" t="str">
        <x:v>O*</x:v>
      </x:c>
      <x:c r="K27" s="58" t="str">
        <x:v>O*</x:v>
      </x:c>
      <x:c r="L27" s="58" t="str">
        <x:v>X</x:v>
      </x:c>
      <x:c r="M27" s="58" t="str">
        <x:v>X</x:v>
      </x:c>
      <x:c r="N27" s="36" t="str">
        <x:v>Người dùng xác thực chỉ được xem/thao tác bản ghi có user_id của chính mình hoặc được gán; API bắt buộc kiểm tra ownership.</x:v>
      </x:c>
      <x:c r="O27" s="58" t="n">
        <x:f>COUNTIF(F27:M27,"O")+COUNTIF(F27:M27,"O*")</x:f>
        <x:v>5</x:v>
      </x:c>
      <x:c r="P27" s="58" t="str">
        <x:f>IF(O27=0,"MỒ CÔI","Đã phủ")</x:f>
        <x:v>Đã phủ</x:v>
      </x:c>
    </x:row>
    <x:row r="28" ht="40" customHeight="1">
      <x:c r="A28" s="36" t="n">
        <x:v>24</x:v>
      </x:c>
      <x:c r="B28" s="36" t="str">
        <x:v>REF-WF-01</x:v>
      </x:c>
      <x:c r="C28" s="36" t="str">
        <x:v>Yêu cầu hoàn tiền</x:v>
      </x:c>
      <x:c r="D28" s="36" t="str">
        <x:v>Hoàn tiền</x:v>
      </x:c>
      <x:c r="E28" s="36" t="str">
        <x:v>Gửi yêu cầu hoàn tiền</x:v>
      </x:c>
      <x:c r="F28" s="58" t="str">
        <x:v>X</x:v>
      </x:c>
      <x:c r="G28" s="58" t="str">
        <x:v>O*</x:v>
      </x:c>
      <x:c r="H28" s="58" t="str">
        <x:v>O*</x:v>
      </x:c>
      <x:c r="I28" s="58" t="str">
        <x:v>O*</x:v>
      </x:c>
      <x:c r="J28" s="58" t="str">
        <x:v>O*</x:v>
      </x:c>
      <x:c r="K28" s="58" t="str">
        <x:v>O*</x:v>
      </x:c>
      <x:c r="L28" s="58" t="str">
        <x:v>X</x:v>
      </x:c>
      <x:c r="M28" s="58" t="str">
        <x:v>X</x:v>
      </x:c>
      <x:c r="N28" s="36" t="str">
        <x:v>Người dùng xác thực chỉ được xem/thao tác bản ghi có user_id của chính mình hoặc được gán; API bắt buộc kiểm tra ownership.</x:v>
      </x:c>
      <x:c r="O28" s="58" t="n">
        <x:f>COUNTIF(F28:M28,"O")+COUNTIF(F28:M28,"O*")</x:f>
        <x:v>5</x:v>
      </x:c>
      <x:c r="P28" s="58" t="str">
        <x:f>IF(O28=0,"MỒ CÔI","Đã phủ")</x:f>
        <x:v>Đã phủ</x:v>
      </x:c>
    </x:row>
    <x:row r="29" ht="40" customHeight="1">
      <x:c r="A29" s="36" t="n">
        <x:v>25</x:v>
      </x:c>
      <x:c r="B29" s="36" t="str">
        <x:v>REV-BAS-01</x:v>
      </x:c>
      <x:c r="C29" s="36" t="str">
        <x:v>Đánh giá</x:v>
      </x:c>
      <x:c r="D29" s="36" t="str">
        <x:v>Nội dung</x:v>
      </x:c>
      <x:c r="E29" s="36" t="str">
        <x:v>Gửi đánh giá đơn đã giao</x:v>
      </x:c>
      <x:c r="F29" s="58" t="str">
        <x:v>X</x:v>
      </x:c>
      <x:c r="G29" s="58" t="str">
        <x:v>O*</x:v>
      </x:c>
      <x:c r="H29" s="58" t="str">
        <x:v>O*</x:v>
      </x:c>
      <x:c r="I29" s="58" t="str">
        <x:v>O*</x:v>
      </x:c>
      <x:c r="J29" s="58" t="str">
        <x:v>O*</x:v>
      </x:c>
      <x:c r="K29" s="58" t="str">
        <x:v>O*</x:v>
      </x:c>
      <x:c r="L29" s="58" t="str">
        <x:v>X</x:v>
      </x:c>
      <x:c r="M29" s="58" t="str">
        <x:v>X</x:v>
      </x:c>
      <x:c r="N29" s="36" t="str">
        <x:v>Người dùng xác thực chỉ được xem/thao tác bản ghi có user_id của chính mình hoặc được gán; API bắt buộc kiểm tra ownership.</x:v>
      </x:c>
      <x:c r="O29" s="58" t="n">
        <x:f>COUNTIF(F29:M29,"O")+COUNTIF(F29:M29,"O*")</x:f>
        <x:v>5</x:v>
      </x:c>
      <x:c r="P29" s="58" t="str">
        <x:f>IF(O29=0,"MỒ CÔI","Đã phủ")</x:f>
        <x:v>Đã phủ</x:v>
      </x:c>
    </x:row>
    <x:row r="30" ht="40" customHeight="1">
      <x:c r="A30" s="36" t="n">
        <x:v>26</x:v>
      </x:c>
      <x:c r="B30" s="36" t="str">
        <x:v>PAR-OTH-01</x:v>
      </x:c>
      <x:c r="C30" s="36" t="str">
        <x:v>Catalog</x:v>
      </x:c>
      <x:c r="D30" s="36" t="str">
        <x:v>Đối tác</x:v>
      </x:c>
      <x:c r="E30" s="36" t="str">
        <x:v>Xuất partner catalog JSON</x:v>
      </x:c>
      <x:c r="F30" s="58" t="str">
        <x:v>X</x:v>
      </x:c>
      <x:c r="G30" s="58" t="str">
        <x:v>X</x:v>
      </x:c>
      <x:c r="H30" s="58" t="str">
        <x:v>X</x:v>
      </x:c>
      <x:c r="I30" s="58" t="str">
        <x:v>X</x:v>
      </x:c>
      <x:c r="J30" s="58" t="str">
        <x:v>X</x:v>
      </x:c>
      <x:c r="K30" s="58" t="str">
        <x:v>X</x:v>
      </x:c>
      <x:c r="L30" s="58" t="str">
        <x:v>X</x:v>
      </x:c>
      <x:c r="M30" s="58" t="str">
        <x:v>O</x:v>
      </x:c>
      <x:c r="N30" s="36" t="str">
        <x:v>Catalog / Đối tác: quyền được gán theo actor, hàng đợi công việc và trạng thái hiện tại.</x:v>
      </x:c>
      <x:c r="O30" s="58" t="n">
        <x:f>COUNTIF(F30:M30,"O")+COUNTIF(F30:M30,"O*")</x:f>
        <x:v>1</x:v>
      </x:c>
      <x:c r="P30" s="58" t="str">
        <x:f>IF(O30=0,"MỒ CÔI","Đã phủ")</x:f>
        <x:v>Đã phủ</x:v>
      </x:c>
    </x:row>
    <x:row r="31" ht="40" customHeight="1">
      <x:c r="A31" s="36" t="n">
        <x:v>27</x:v>
      </x:c>
      <x:c r="B31" s="36" t="str">
        <x:v>PAR-OTH-02</x:v>
      </x:c>
      <x:c r="C31" s="36" t="str">
        <x:v>Catalog</x:v>
      </x:c>
      <x:c r="D31" s="36" t="str">
        <x:v>Đối tác</x:v>
      </x:c>
      <x:c r="E31" s="36" t="str">
        <x:v>Xuất partner catalog XML</x:v>
      </x:c>
      <x:c r="F31" s="58" t="str">
        <x:v>X</x:v>
      </x:c>
      <x:c r="G31" s="58" t="str">
        <x:v>X</x:v>
      </x:c>
      <x:c r="H31" s="58" t="str">
        <x:v>X</x:v>
      </x:c>
      <x:c r="I31" s="58" t="str">
        <x:v>X</x:v>
      </x:c>
      <x:c r="J31" s="58" t="str">
        <x:v>X</x:v>
      </x:c>
      <x:c r="K31" s="58" t="str">
        <x:v>X</x:v>
      </x:c>
      <x:c r="L31" s="58" t="str">
        <x:v>X</x:v>
      </x:c>
      <x:c r="M31" s="58" t="str">
        <x:v>O</x:v>
      </x:c>
      <x:c r="N31" s="36" t="str">
        <x:v>Catalog / Đối tác: quyền được gán theo actor, hàng đợi công việc và trạng thái hiện tại.</x:v>
      </x:c>
      <x:c r="O31" s="58" t="n">
        <x:f>COUNTIF(F31:M31,"O")+COUNTIF(F31:M31,"O*")</x:f>
        <x:v>1</x:v>
      </x:c>
      <x:c r="P31" s="58" t="str">
        <x:f>IF(O31=0,"MỒ CÔI","Đã phủ")</x:f>
        <x:v>Đã phủ</x:v>
      </x:c>
    </x:row>
    <x:row r="32" ht="40" customHeight="1">
      <x:c r="A32" s="36" t="n">
        <x:v>28</x:v>
      </x:c>
      <x:c r="B32" s="36" t="str">
        <x:v>MED-BAS-01</x:v>
      </x:c>
      <x:c r="C32" s="36" t="str">
        <x:v>Media</x:v>
      </x:c>
      <x:c r="D32" s="36" t="str">
        <x:v>Nội dung</x:v>
      </x:c>
      <x:c r="E32" s="36" t="str">
        <x:v>Phục vụ ảnh/media bảo vệ</x:v>
      </x:c>
      <x:c r="F32" s="58" t="str">
        <x:v>O</x:v>
      </x:c>
      <x:c r="G32" s="58" t="str">
        <x:v>O</x:v>
      </x:c>
      <x:c r="H32" s="58" t="str">
        <x:v>O</x:v>
      </x:c>
      <x:c r="I32" s="58" t="str">
        <x:v>O</x:v>
      </x:c>
      <x:c r="J32" s="58" t="str">
        <x:v>O</x:v>
      </x:c>
      <x:c r="K32" s="58" t="str">
        <x:v>O</x:v>
      </x:c>
      <x:c r="L32" s="58" t="str">
        <x:v>X</x:v>
      </x:c>
      <x:c r="M32" s="58" t="str">
        <x:v>O</x:v>
      </x:c>
      <x:c r="N32" s="36" t="str">
        <x:v>Tài nguyên công khai, chỉ trả dữ liệu active/published; không lộ dữ liệu quản trị.</x:v>
      </x:c>
      <x:c r="O32" s="58" t="n">
        <x:f>COUNTIF(F32:M32,"O")+COUNTIF(F32:M32,"O*")</x:f>
        <x:v>7</x:v>
      </x:c>
      <x:c r="P32" s="58" t="str">
        <x:f>IF(O32=0,"MỒ CÔI","Đã phủ")</x:f>
        <x:v>Đã phủ</x:v>
      </x:c>
    </x:row>
    <x:row r="33" ht="40" customHeight="1">
      <x:c r="A33" s="36" t="n">
        <x:v>29</x:v>
      </x:c>
      <x:c r="B33" s="36" t="str">
        <x:v>ADM-ADV-01</x:v>
      </x:c>
      <x:c r="C33" s="36" t="str">
        <x:v>Hệ thống</x:v>
      </x:c>
      <x:c r="D33" s="36" t="str">
        <x:v>Quản trị</x:v>
      </x:c>
      <x:c r="E33" s="36" t="str">
        <x:v>Xem dashboard thống kê</x:v>
      </x:c>
      <x:c r="F33" s="58" t="str">
        <x:v>X</x:v>
      </x:c>
      <x:c r="G33" s="58" t="str">
        <x:v>X</x:v>
      </x:c>
      <x:c r="H33" s="58" t="str">
        <x:v>X</x:v>
      </x:c>
      <x:c r="I33" s="58" t="str">
        <x:v>X</x:v>
      </x:c>
      <x:c r="J33" s="58" t="str">
        <x:v>X</x:v>
      </x:c>
      <x:c r="K33" s="58" t="str">
        <x:v>O</x:v>
      </x:c>
      <x:c r="L33" s="58" t="str">
        <x:v>X</x:v>
      </x:c>
      <x:c r="M33" s="58" t="str">
        <x:v>X</x:v>
      </x:c>
      <x:c r="N33" s="36" t="str">
        <x:v>Hệ thống / Quản trị: quyền được gán theo actor, hàng đợi công việc và trạng thái hiện tại.</x:v>
      </x:c>
      <x:c r="O33" s="58" t="n">
        <x:f>COUNTIF(F33:M33,"O")+COUNTIF(F33:M33,"O*")</x:f>
        <x:v>1</x:v>
      </x:c>
      <x:c r="P33" s="58" t="str">
        <x:f>IF(O33=0,"MỒ CÔI","Đã phủ")</x:f>
        <x:v>Đã phủ</x:v>
      </x:c>
    </x:row>
    <x:row r="34" ht="40" customHeight="1">
      <x:c r="A34" s="36" t="n">
        <x:v>30</x:v>
      </x:c>
      <x:c r="B34" s="36" t="str">
        <x:v>PRD-ADM-01</x:v>
      </x:c>
      <x:c r="C34" s="36" t="str">
        <x:v>Sản phẩm</x:v>
      </x:c>
      <x:c r="D34" s="36" t="str">
        <x:v>Quản trị sản phẩm</x:v>
      </x:c>
      <x:c r="E34" s="36" t="str">
        <x:v>Xem danh sách sản phẩm</x:v>
      </x:c>
      <x:c r="F34" s="58" t="str">
        <x:v>X</x:v>
      </x:c>
      <x:c r="G34" s="58" t="str">
        <x:v>X</x:v>
      </x:c>
      <x:c r="H34" s="58" t="str">
        <x:v>X</x:v>
      </x:c>
      <x:c r="I34" s="58" t="str">
        <x:v>X</x:v>
      </x:c>
      <x:c r="J34" s="58" t="str">
        <x:v>X</x:v>
      </x:c>
      <x:c r="K34" s="58" t="str">
        <x:v>O</x:v>
      </x:c>
      <x:c r="L34" s="58" t="str">
        <x:v>X</x:v>
      </x:c>
      <x:c r="M34" s="58" t="str">
        <x:v>X</x:v>
      </x:c>
      <x:c r="N34" s="36" t="str">
        <x:v>Sản phẩm / Quản trị sản phẩm: quyền được gán theo actor, hàng đợi công việc và trạng thái hiện tại.</x:v>
      </x:c>
      <x:c r="O34" s="58" t="n">
        <x:f>COUNTIF(F34:M34,"O")+COUNTIF(F34:M34,"O*")</x:f>
        <x:v>1</x:v>
      </x:c>
      <x:c r="P34" s="58" t="str">
        <x:f>IF(O34=0,"MỒ CÔI","Đã phủ")</x:f>
        <x:v>Đã phủ</x:v>
      </x:c>
    </x:row>
    <x:row r="35" ht="40" customHeight="1">
      <x:c r="A35" s="36" t="n">
        <x:v>31</x:v>
      </x:c>
      <x:c r="B35" s="36" t="str">
        <x:v>PRD-ADM-02</x:v>
      </x:c>
      <x:c r="C35" s="36" t="str">
        <x:v>Sản phẩm</x:v>
      </x:c>
      <x:c r="D35" s="36" t="str">
        <x:v>Quản trị sản phẩm</x:v>
      </x:c>
      <x:c r="E35" s="36" t="str">
        <x:v>Tạo sản phẩm</x:v>
      </x:c>
      <x:c r="F35" s="58" t="str">
        <x:v>X</x:v>
      </x:c>
      <x:c r="G35" s="58" t="str">
        <x:v>X</x:v>
      </x:c>
      <x:c r="H35" s="58" t="str">
        <x:v>X</x:v>
      </x:c>
      <x:c r="I35" s="58" t="str">
        <x:v>X</x:v>
      </x:c>
      <x:c r="J35" s="58" t="str">
        <x:v>X</x:v>
      </x:c>
      <x:c r="K35" s="58" t="str">
        <x:v>O</x:v>
      </x:c>
      <x:c r="L35" s="58" t="str">
        <x:v>X</x:v>
      </x:c>
      <x:c r="M35" s="58" t="str">
        <x:v>X</x:v>
      </x:c>
      <x:c r="N35" s="36" t="str">
        <x:v>Sản phẩm / Quản trị sản phẩm: quyền được gán theo actor, hàng đợi công việc và trạng thái hiện tại.</x:v>
      </x:c>
      <x:c r="O35" s="58" t="n">
        <x:f>COUNTIF(F35:M35,"O")+COUNTIF(F35:M35,"O*")</x:f>
        <x:v>1</x:v>
      </x:c>
      <x:c r="P35" s="58" t="str">
        <x:f>IF(O35=0,"MỒ CÔI","Đã phủ")</x:f>
        <x:v>Đã phủ</x:v>
      </x:c>
    </x:row>
    <x:row r="36" ht="40" customHeight="1">
      <x:c r="A36" s="36" t="n">
        <x:v>32</x:v>
      </x:c>
      <x:c r="B36" s="36" t="str">
        <x:v>PRD-ADM-03</x:v>
      </x:c>
      <x:c r="C36" s="36" t="str">
        <x:v>Sản phẩm</x:v>
      </x:c>
      <x:c r="D36" s="36" t="str">
        <x:v>Quản trị sản phẩm</x:v>
      </x:c>
      <x:c r="E36" s="36" t="str">
        <x:v>Sửa sản phẩm</x:v>
      </x:c>
      <x:c r="F36" s="58" t="str">
        <x:v>X</x:v>
      </x:c>
      <x:c r="G36" s="58" t="str">
        <x:v>X</x:v>
      </x:c>
      <x:c r="H36" s="58" t="str">
        <x:v>X</x:v>
      </x:c>
      <x:c r="I36" s="58" t="str">
        <x:v>X</x:v>
      </x:c>
      <x:c r="J36" s="58" t="str">
        <x:v>X</x:v>
      </x:c>
      <x:c r="K36" s="58" t="str">
        <x:v>O</x:v>
      </x:c>
      <x:c r="L36" s="58" t="str">
        <x:v>X</x:v>
      </x:c>
      <x:c r="M36" s="58" t="str">
        <x:v>X</x:v>
      </x:c>
      <x:c r="N36" s="36" t="str">
        <x:v>Sản phẩm / Quản trị sản phẩm: quyền được gán theo actor, hàng đợi công việc và trạng thái hiện tại.</x:v>
      </x:c>
      <x:c r="O36" s="58" t="n">
        <x:f>COUNTIF(F36:M36,"O")+COUNTIF(F36:M36,"O*")</x:f>
        <x:v>1</x:v>
      </x:c>
      <x:c r="P36" s="58" t="str">
        <x:f>IF(O36=0,"MỒ CÔI","Đã phủ")</x:f>
        <x:v>Đã phủ</x:v>
      </x:c>
    </x:row>
    <x:row r="37" ht="40" customHeight="1">
      <x:c r="A37" s="36" t="n">
        <x:v>33</x:v>
      </x:c>
      <x:c r="B37" s="36" t="str">
        <x:v>PRD-ADM-04</x:v>
      </x:c>
      <x:c r="C37" s="36" t="str">
        <x:v>Sản phẩm</x:v>
      </x:c>
      <x:c r="D37" s="36" t="str">
        <x:v>Quản trị sản phẩm</x:v>
      </x:c>
      <x:c r="E37" s="36" t="str">
        <x:v>Điều chỉnh tồn kho</x:v>
      </x:c>
      <x:c r="F37" s="58" t="str">
        <x:v>X</x:v>
      </x:c>
      <x:c r="G37" s="58" t="str">
        <x:v>X</x:v>
      </x:c>
      <x:c r="H37" s="58" t="str">
        <x:v>X</x:v>
      </x:c>
      <x:c r="I37" s="58" t="str">
        <x:v>X</x:v>
      </x:c>
      <x:c r="J37" s="58" t="str">
        <x:v>X</x:v>
      </x:c>
      <x:c r="K37" s="58" t="str">
        <x:v>O</x:v>
      </x:c>
      <x:c r="L37" s="58" t="str">
        <x:v>X</x:v>
      </x:c>
      <x:c r="M37" s="58" t="str">
        <x:v>X</x:v>
      </x:c>
      <x:c r="N37" s="36" t="str">
        <x:v>Sản phẩm / Quản trị sản phẩm: quyền được gán theo actor, hàng đợi công việc và trạng thái hiện tại.</x:v>
      </x:c>
      <x:c r="O37" s="58" t="n">
        <x:f>COUNTIF(F37:M37,"O")+COUNTIF(F37:M37,"O*")</x:f>
        <x:v>1</x:v>
      </x:c>
      <x:c r="P37" s="58" t="str">
        <x:f>IF(O37=0,"MỒ CÔI","Đã phủ")</x:f>
        <x:v>Đã phủ</x:v>
      </x:c>
    </x:row>
    <x:row r="38" ht="40" customHeight="1">
      <x:c r="A38" s="36" t="n">
        <x:v>34</x:v>
      </x:c>
      <x:c r="B38" s="36" t="str">
        <x:v>CAT-ADM-01</x:v>
      </x:c>
      <x:c r="C38" s="36" t="str">
        <x:v>Danh mục</x:v>
      </x:c>
      <x:c r="D38" s="36" t="str">
        <x:v>Quản trị danh mục</x:v>
      </x:c>
      <x:c r="E38" s="36" t="str">
        <x:v>Xem tất cả danh mục</x:v>
      </x:c>
      <x:c r="F38" s="58" t="str">
        <x:v>X</x:v>
      </x:c>
      <x:c r="G38" s="58" t="str">
        <x:v>X</x:v>
      </x:c>
      <x:c r="H38" s="58" t="str">
        <x:v>X</x:v>
      </x:c>
      <x:c r="I38" s="58" t="str">
        <x:v>X</x:v>
      </x:c>
      <x:c r="J38" s="58" t="str">
        <x:v>O</x:v>
      </x:c>
      <x:c r="K38" s="58" t="str">
        <x:v>O</x:v>
      </x:c>
      <x:c r="L38" s="58" t="str">
        <x:v>X</x:v>
      </x:c>
      <x:c r="M38" s="58" t="str">
        <x:v>X</x:v>
      </x:c>
      <x:c r="N38" s="36" t="str">
        <x:v>Danh mục / Quản trị danh mục: quyền được gán theo actor, hàng đợi công việc và trạng thái hiện tại.</x:v>
      </x:c>
      <x:c r="O38" s="58" t="n">
        <x:f>COUNTIF(F38:M38,"O")+COUNTIF(F38:M38,"O*")</x:f>
        <x:v>2</x:v>
      </x:c>
      <x:c r="P38" s="58" t="str">
        <x:f>IF(O38=0,"MỒ CÔI","Đã phủ")</x:f>
        <x:v>Đã phủ</x:v>
      </x:c>
    </x:row>
    <x:row r="39" ht="40" customHeight="1">
      <x:c r="A39" s="36" t="n">
        <x:v>35</x:v>
      </x:c>
      <x:c r="B39" s="36" t="str">
        <x:v>CAT-ADM-02</x:v>
      </x:c>
      <x:c r="C39" s="36" t="str">
        <x:v>Danh mục</x:v>
      </x:c>
      <x:c r="D39" s="36" t="str">
        <x:v>Quản trị danh mục</x:v>
      </x:c>
      <x:c r="E39" s="36" t="str">
        <x:v>Tạo danh mục</x:v>
      </x:c>
      <x:c r="F39" s="58" t="str">
        <x:v>X</x:v>
      </x:c>
      <x:c r="G39" s="58" t="str">
        <x:v>X</x:v>
      </x:c>
      <x:c r="H39" s="58" t="str">
        <x:v>X</x:v>
      </x:c>
      <x:c r="I39" s="58" t="str">
        <x:v>X</x:v>
      </x:c>
      <x:c r="J39" s="58" t="str">
        <x:v>O</x:v>
      </x:c>
      <x:c r="K39" s="58" t="str">
        <x:v>O</x:v>
      </x:c>
      <x:c r="L39" s="58" t="str">
        <x:v>X</x:v>
      </x:c>
      <x:c r="M39" s="58" t="str">
        <x:v>X</x:v>
      </x:c>
      <x:c r="N39" s="36" t="str">
        <x:v>Danh mục / Quản trị danh mục: quyền được gán theo actor, hàng đợi công việc và trạng thái hiện tại.</x:v>
      </x:c>
      <x:c r="O39" s="58" t="n">
        <x:f>COUNTIF(F39:M39,"O")+COUNTIF(F39:M39,"O*")</x:f>
        <x:v>2</x:v>
      </x:c>
      <x:c r="P39" s="58" t="str">
        <x:f>IF(O39=0,"MỒ CÔI","Đã phủ")</x:f>
        <x:v>Đã phủ</x:v>
      </x:c>
    </x:row>
    <x:row r="40" ht="40" customHeight="1">
      <x:c r="A40" s="36" t="n">
        <x:v>36</x:v>
      </x:c>
      <x:c r="B40" s="36" t="str">
        <x:v>CAT-ADM-03</x:v>
      </x:c>
      <x:c r="C40" s="36" t="str">
        <x:v>Danh mục</x:v>
      </x:c>
      <x:c r="D40" s="36" t="str">
        <x:v>Quản trị danh mục</x:v>
      </x:c>
      <x:c r="E40" s="36" t="str">
        <x:v>Sửa danh mục</x:v>
      </x:c>
      <x:c r="F40" s="58" t="str">
        <x:v>X</x:v>
      </x:c>
      <x:c r="G40" s="58" t="str">
        <x:v>X</x:v>
      </x:c>
      <x:c r="H40" s="58" t="str">
        <x:v>X</x:v>
      </x:c>
      <x:c r="I40" s="58" t="str">
        <x:v>X</x:v>
      </x:c>
      <x:c r="J40" s="58" t="str">
        <x:v>O</x:v>
      </x:c>
      <x:c r="K40" s="58" t="str">
        <x:v>O</x:v>
      </x:c>
      <x:c r="L40" s="58" t="str">
        <x:v>X</x:v>
      </x:c>
      <x:c r="M40" s="58" t="str">
        <x:v>X</x:v>
      </x:c>
      <x:c r="N40" s="36" t="str">
        <x:v>Danh mục / Quản trị danh mục: quyền được gán theo actor, hàng đợi công việc và trạng thái hiện tại.</x:v>
      </x:c>
      <x:c r="O40" s="58" t="n">
        <x:f>COUNTIF(F40:M40,"O")+COUNTIF(F40:M40,"O*")</x:f>
        <x:v>2</x:v>
      </x:c>
      <x:c r="P40" s="58" t="str">
        <x:f>IF(O40=0,"MỒ CÔI","Đã phủ")</x:f>
        <x:v>Đã phủ</x:v>
      </x:c>
    </x:row>
    <x:row r="41" ht="40" customHeight="1">
      <x:c r="A41" s="36" t="n">
        <x:v>37</x:v>
      </x:c>
      <x:c r="B41" s="36" t="str">
        <x:v>CAT-ADM-04</x:v>
      </x:c>
      <x:c r="C41" s="36" t="str">
        <x:v>Danh mục</x:v>
      </x:c>
      <x:c r="D41" s="36" t="str">
        <x:v>Quản trị danh mục</x:v>
      </x:c>
      <x:c r="E41" s="36" t="str">
        <x:v>Ngừng sử dụng danh mục</x:v>
      </x:c>
      <x:c r="F41" s="58" t="str">
        <x:v>X</x:v>
      </x:c>
      <x:c r="G41" s="58" t="str">
        <x:v>X</x:v>
      </x:c>
      <x:c r="H41" s="58" t="str">
        <x:v>X</x:v>
      </x:c>
      <x:c r="I41" s="58" t="str">
        <x:v>X</x:v>
      </x:c>
      <x:c r="J41" s="58" t="str">
        <x:v>O</x:v>
      </x:c>
      <x:c r="K41" s="58" t="str">
        <x:v>O</x:v>
      </x:c>
      <x:c r="L41" s="58" t="str">
        <x:v>X</x:v>
      </x:c>
      <x:c r="M41" s="58" t="str">
        <x:v>X</x:v>
      </x:c>
      <x:c r="N41" s="36" t="str">
        <x:v>Danh mục / Quản trị danh mục: quyền được gán theo actor, hàng đợi công việc và trạng thái hiện tại.</x:v>
      </x:c>
      <x:c r="O41" s="58" t="n">
        <x:f>COUNTIF(F41:M41,"O")+COUNTIF(F41:M41,"O*")</x:f>
        <x:v>2</x:v>
      </x:c>
      <x:c r="P41" s="58" t="str">
        <x:f>IF(O41=0,"MỒ CÔI","Đã phủ")</x:f>
        <x:v>Đã phủ</x:v>
      </x:c>
    </x:row>
    <x:row r="42" ht="40" customHeight="1">
      <x:c r="A42" s="36" t="n">
        <x:v>38</x:v>
      </x:c>
      <x:c r="B42" s="36" t="str">
        <x:v>ORD-ADM-01</x:v>
      </x:c>
      <x:c r="C42" s="36" t="str">
        <x:v>Đơn hàng</x:v>
      </x:c>
      <x:c r="D42" s="36" t="str">
        <x:v>Quản trị đơn</x:v>
      </x:c>
      <x:c r="E42" s="36" t="str">
        <x:v>Xem và lọc tất cả đơn</x:v>
      </x:c>
      <x:c r="F42" s="58" t="str">
        <x:v>X</x:v>
      </x:c>
      <x:c r="G42" s="58" t="str">
        <x:v>X</x:v>
      </x:c>
      <x:c r="H42" s="58" t="str">
        <x:v>O</x:v>
      </x:c>
      <x:c r="I42" s="58" t="str">
        <x:v>O</x:v>
      </x:c>
      <x:c r="J42" s="58" t="str">
        <x:v>X</x:v>
      </x:c>
      <x:c r="K42" s="58" t="str">
        <x:v>O</x:v>
      </x:c>
      <x:c r="L42" s="58" t="str">
        <x:v>X</x:v>
      </x:c>
      <x:c r="M42" s="58" t="str">
        <x:v>X</x:v>
      </x:c>
      <x:c r="N42" s="36" t="str">
        <x:v>Đơn hàng / Quản trị đơn: quyền được gán theo actor, hàng đợi công việc và trạng thái hiện tại.</x:v>
      </x:c>
      <x:c r="O42" s="58" t="n">
        <x:f>COUNTIF(F42:M42,"O")+COUNTIF(F42:M42,"O*")</x:f>
        <x:v>3</x:v>
      </x:c>
      <x:c r="P42" s="58" t="str">
        <x:f>IF(O42=0,"MỒ CÔI","Đã phủ")</x:f>
        <x:v>Đã phủ</x:v>
      </x:c>
    </x:row>
    <x:row r="43" ht="40" customHeight="1">
      <x:c r="A43" s="36" t="n">
        <x:v>39</x:v>
      </x:c>
      <x:c r="B43" s="36" t="str">
        <x:v>ORD-WF-03</x:v>
      </x:c>
      <x:c r="C43" s="36" t="str">
        <x:v>Đơn hàng</x:v>
      </x:c>
      <x:c r="D43" s="36" t="str">
        <x:v>Quản trị đơn</x:v>
      </x:c>
      <x:c r="E43" s="36" t="str">
        <x:v>Cập nhật trạng thái đơn</x:v>
      </x:c>
      <x:c r="F43" s="58" t="str">
        <x:v>X</x:v>
      </x:c>
      <x:c r="G43" s="58" t="str">
        <x:v>X</x:v>
      </x:c>
      <x:c r="H43" s="58" t="str">
        <x:v>O</x:v>
      </x:c>
      <x:c r="I43" s="58" t="str">
        <x:v>X</x:v>
      </x:c>
      <x:c r="J43" s="58" t="str">
        <x:v>X</x:v>
      </x:c>
      <x:c r="K43" s="58" t="str">
        <x:v>O</x:v>
      </x:c>
      <x:c r="L43" s="58" t="str">
        <x:v>X</x:v>
      </x:c>
      <x:c r="M43" s="58" t="str">
        <x:v>X</x:v>
      </x:c>
      <x:c r="N43" s="36" t="str">
        <x:v>Đơn hàng / Quản trị đơn: quyền được gán theo actor, hàng đợi công việc và trạng thái hiện tại.</x:v>
      </x:c>
      <x:c r="O43" s="58" t="n">
        <x:f>COUNTIF(F43:M43,"O")+COUNTIF(F43:M43,"O*")</x:f>
        <x:v>2</x:v>
      </x:c>
      <x:c r="P43" s="58" t="str">
        <x:f>IF(O43=0,"MỒ CÔI","Đã phủ")</x:f>
        <x:v>Đã phủ</x:v>
      </x:c>
    </x:row>
    <x:row r="44" ht="40" customHeight="1">
      <x:c r="A44" s="36" t="n">
        <x:v>40</x:v>
      </x:c>
      <x:c r="B44" s="36" t="str">
        <x:v>REV-ADM-01</x:v>
      </x:c>
      <x:c r="C44" s="36" t="str">
        <x:v>Đánh giá</x:v>
      </x:c>
      <x:c r="D44" s="36" t="str">
        <x:v>Kiểm duyệt</x:v>
      </x:c>
      <x:c r="E44" s="36" t="str">
        <x:v>Xem đánh giá chờ duyệt</x:v>
      </x:c>
      <x:c r="F44" s="58" t="str">
        <x:v>X</x:v>
      </x:c>
      <x:c r="G44" s="58" t="str">
        <x:v>X</x:v>
      </x:c>
      <x:c r="H44" s="58" t="str">
        <x:v>X</x:v>
      </x:c>
      <x:c r="I44" s="58" t="str">
        <x:v>X</x:v>
      </x:c>
      <x:c r="J44" s="58" t="str">
        <x:v>O</x:v>
      </x:c>
      <x:c r="K44" s="58" t="str">
        <x:v>O</x:v>
      </x:c>
      <x:c r="L44" s="58" t="str">
        <x:v>X</x:v>
      </x:c>
      <x:c r="M44" s="58" t="str">
        <x:v>X</x:v>
      </x:c>
      <x:c r="N44" s="36" t="str">
        <x:v>Đánh giá / Kiểm duyệt: quyền được gán theo actor, hàng đợi công việc và trạng thái hiện tại.</x:v>
      </x:c>
      <x:c r="O44" s="58" t="n">
        <x:f>COUNTIF(F44:M44,"O")+COUNTIF(F44:M44,"O*")</x:f>
        <x:v>2</x:v>
      </x:c>
      <x:c r="P44" s="58" t="str">
        <x:f>IF(O44=0,"MỒ CÔI","Đã phủ")</x:f>
        <x:v>Đã phủ</x:v>
      </x:c>
    </x:row>
    <x:row r="45" ht="40" customHeight="1">
      <x:c r="A45" s="36" t="n">
        <x:v>41</x:v>
      </x:c>
      <x:c r="B45" s="36" t="str">
        <x:v>REV-ADM-02</x:v>
      </x:c>
      <x:c r="C45" s="36" t="str">
        <x:v>Đánh giá</x:v>
      </x:c>
      <x:c r="D45" s="36" t="str">
        <x:v>Kiểm duyệt</x:v>
      </x:c>
      <x:c r="E45" s="36" t="str">
        <x:v>Duyệt đánh giá</x:v>
      </x:c>
      <x:c r="F45" s="58" t="str">
        <x:v>X</x:v>
      </x:c>
      <x:c r="G45" s="58" t="str">
        <x:v>X</x:v>
      </x:c>
      <x:c r="H45" s="58" t="str">
        <x:v>X</x:v>
      </x:c>
      <x:c r="I45" s="58" t="str">
        <x:v>X</x:v>
      </x:c>
      <x:c r="J45" s="58" t="str">
        <x:v>O</x:v>
      </x:c>
      <x:c r="K45" s="58" t="str">
        <x:v>O</x:v>
      </x:c>
      <x:c r="L45" s="58" t="str">
        <x:v>X</x:v>
      </x:c>
      <x:c r="M45" s="58" t="str">
        <x:v>X</x:v>
      </x:c>
      <x:c r="N45" s="36" t="str">
        <x:v>Đánh giá / Kiểm duyệt: quyền được gán theo actor, hàng đợi công việc và trạng thái hiện tại.</x:v>
      </x:c>
      <x:c r="O45" s="58" t="n">
        <x:f>COUNTIF(F45:M45,"O")+COUNTIF(F45:M45,"O*")</x:f>
        <x:v>2</x:v>
      </x:c>
      <x:c r="P45" s="58" t="str">
        <x:f>IF(O45=0,"MỒ CÔI","Đã phủ")</x:f>
        <x:v>Đã phủ</x:v>
      </x:c>
    </x:row>
    <x:row r="46" ht="40" customHeight="1">
      <x:c r="A46" s="36" t="n">
        <x:v>42</x:v>
      </x:c>
      <x:c r="B46" s="36" t="str">
        <x:v>REV-ADM-03</x:v>
      </x:c>
      <x:c r="C46" s="36" t="str">
        <x:v>Đánh giá</x:v>
      </x:c>
      <x:c r="D46" s="36" t="str">
        <x:v>Kiểm duyệt</x:v>
      </x:c>
      <x:c r="E46" s="36" t="str">
        <x:v>Ẩn đánh giá</x:v>
      </x:c>
      <x:c r="F46" s="58" t="str">
        <x:v>X</x:v>
      </x:c>
      <x:c r="G46" s="58" t="str">
        <x:v>X</x:v>
      </x:c>
      <x:c r="H46" s="58" t="str">
        <x:v>X</x:v>
      </x:c>
      <x:c r="I46" s="58" t="str">
        <x:v>X</x:v>
      </x:c>
      <x:c r="J46" s="58" t="str">
        <x:v>O</x:v>
      </x:c>
      <x:c r="K46" s="58" t="str">
        <x:v>O</x:v>
      </x:c>
      <x:c r="L46" s="58" t="str">
        <x:v>X</x:v>
      </x:c>
      <x:c r="M46" s="58" t="str">
        <x:v>X</x:v>
      </x:c>
      <x:c r="N46" s="36" t="str">
        <x:v>Đánh giá / Kiểm duyệt: quyền được gán theo actor, hàng đợi công việc và trạng thái hiện tại.</x:v>
      </x:c>
      <x:c r="O46" s="58" t="n">
        <x:f>COUNTIF(F46:M46,"O")+COUNTIF(F46:M46,"O*")</x:f>
        <x:v>2</x:v>
      </x:c>
      <x:c r="P46" s="58" t="str">
        <x:f>IF(O46=0,"MỒ CÔI","Đã phủ")</x:f>
        <x:v>Đã phủ</x:v>
      </x:c>
    </x:row>
    <x:row r="47" ht="40" customHeight="1">
      <x:c r="A47" s="36" t="n">
        <x:v>43</x:v>
      </x:c>
      <x:c r="B47" s="36" t="str">
        <x:v>USR-ADM-01</x:v>
      </x:c>
      <x:c r="C47" s="36" t="str">
        <x:v>Người dùng</x:v>
      </x:c>
      <x:c r="D47" s="36" t="str">
        <x:v>Quản trị người dùng</x:v>
      </x:c>
      <x:c r="E47" s="36" t="str">
        <x:v>Xem danh sách người dùng</x:v>
      </x:c>
      <x:c r="F47" s="58" t="str">
        <x:v>X</x:v>
      </x:c>
      <x:c r="G47" s="58" t="str">
        <x:v>X</x:v>
      </x:c>
      <x:c r="H47" s="58" t="str">
        <x:v>X</x:v>
      </x:c>
      <x:c r="I47" s="58" t="str">
        <x:v>X</x:v>
      </x:c>
      <x:c r="J47" s="58" t="str">
        <x:v>X</x:v>
      </x:c>
      <x:c r="K47" s="58" t="str">
        <x:v>O</x:v>
      </x:c>
      <x:c r="L47" s="58" t="str">
        <x:v>X</x:v>
      </x:c>
      <x:c r="M47" s="58" t="str">
        <x:v>X</x:v>
      </x:c>
      <x:c r="N47" s="36" t="str">
        <x:v>Chỉ Quản trị viên; áp dụng nguyên tắc tối thiểu, không tự khóa admin đang đăng nhập.</x:v>
      </x:c>
      <x:c r="O47" s="58" t="n">
        <x:f>COUNTIF(F47:M47,"O")+COUNTIF(F47:M47,"O*")</x:f>
        <x:v>1</x:v>
      </x:c>
      <x:c r="P47" s="58" t="str">
        <x:f>IF(O47=0,"MỒ CÔI","Đã phủ")</x:f>
        <x:v>Đã phủ</x:v>
      </x:c>
    </x:row>
    <x:row r="48" ht="40" customHeight="1">
      <x:c r="A48" s="36" t="n">
        <x:v>44</x:v>
      </x:c>
      <x:c r="B48" s="36" t="str">
        <x:v>USR-ADM-02</x:v>
      </x:c>
      <x:c r="C48" s="36" t="str">
        <x:v>Người dùng</x:v>
      </x:c>
      <x:c r="D48" s="36" t="str">
        <x:v>Quản trị người dùng</x:v>
      </x:c>
      <x:c r="E48" s="36" t="str">
        <x:v>Thay đổi vai trò/trạng thái</x:v>
      </x:c>
      <x:c r="F48" s="58" t="str">
        <x:v>X</x:v>
      </x:c>
      <x:c r="G48" s="58" t="str">
        <x:v>X</x:v>
      </x:c>
      <x:c r="H48" s="58" t="str">
        <x:v>X</x:v>
      </x:c>
      <x:c r="I48" s="58" t="str">
        <x:v>X</x:v>
      </x:c>
      <x:c r="J48" s="58" t="str">
        <x:v>X</x:v>
      </x:c>
      <x:c r="K48" s="58" t="str">
        <x:v>O</x:v>
      </x:c>
      <x:c r="L48" s="58" t="str">
        <x:v>X</x:v>
      </x:c>
      <x:c r="M48" s="58" t="str">
        <x:v>X</x:v>
      </x:c>
      <x:c r="N48" s="36" t="str">
        <x:v>Chỉ Quản trị viên; áp dụng nguyên tắc tối thiểu, không tự khóa admin đang đăng nhập.</x:v>
      </x:c>
      <x:c r="O48" s="58" t="n">
        <x:f>COUNTIF(F48:M48,"O")+COUNTIF(F48:M48,"O*")</x:f>
        <x:v>1</x:v>
      </x:c>
      <x:c r="P48" s="58" t="str">
        <x:f>IF(O48=0,"MỒ CÔI","Đã phủ")</x:f>
        <x:v>Đã phủ</x:v>
      </x:c>
    </x:row>
    <x:row r="49" ht="40" customHeight="1">
      <x:c r="A49" s="36" t="n">
        <x:v>45</x:v>
      </x:c>
      <x:c r="B49" s="36" t="str">
        <x:v>REF-ADM-01</x:v>
      </x:c>
      <x:c r="C49" s="36" t="str">
        <x:v>Yêu cầu hoàn tiền</x:v>
      </x:c>
      <x:c r="D49" s="36" t="str">
        <x:v>Quản trị hoàn tiền</x:v>
      </x:c>
      <x:c r="E49" s="36" t="str">
        <x:v>Xem danh sách yêu cầu</x:v>
      </x:c>
      <x:c r="F49" s="58" t="str">
        <x:v>X</x:v>
      </x:c>
      <x:c r="G49" s="58" t="str">
        <x:v>X</x:v>
      </x:c>
      <x:c r="H49" s="58" t="str">
        <x:v>X</x:v>
      </x:c>
      <x:c r="I49" s="58" t="str">
        <x:v>O</x:v>
      </x:c>
      <x:c r="J49" s="58" t="str">
        <x:v>X</x:v>
      </x:c>
      <x:c r="K49" s="58" t="str">
        <x:v>O</x:v>
      </x:c>
      <x:c r="L49" s="58" t="str">
        <x:v>X</x:v>
      </x:c>
      <x:c r="M49" s="58" t="str">
        <x:v>X</x:v>
      </x:c>
      <x:c r="N49" s="36" t="str">
        <x:v>Yêu cầu hoàn tiền / Quản trị hoàn tiền: quyền được gán theo actor, hàng đợi công việc và trạng thái hiện tại.</x:v>
      </x:c>
      <x:c r="O49" s="58" t="n">
        <x:f>COUNTIF(F49:M49,"O")+COUNTIF(F49:M49,"O*")</x:f>
        <x:v>2</x:v>
      </x:c>
      <x:c r="P49" s="58" t="str">
        <x:f>IF(O49=0,"MỒ CÔI","Đã phủ")</x:f>
        <x:v>Đã phủ</x:v>
      </x:c>
    </x:row>
    <x:row r="50" ht="40" customHeight="1">
      <x:c r="A50" s="36" t="n">
        <x:v>46</x:v>
      </x:c>
      <x:c r="B50" s="36" t="str">
        <x:v>REF-WF-02</x:v>
      </x:c>
      <x:c r="C50" s="36" t="str">
        <x:v>Yêu cầu hoàn tiền</x:v>
      </x:c>
      <x:c r="D50" s="36" t="str">
        <x:v>Quản trị hoàn tiền</x:v>
      </x:c>
      <x:c r="E50" s="36" t="str">
        <x:v>Xử lý trạng thái hoàn tiền</x:v>
      </x:c>
      <x:c r="F50" s="58" t="str">
        <x:v>X</x:v>
      </x:c>
      <x:c r="G50" s="58" t="str">
        <x:v>X</x:v>
      </x:c>
      <x:c r="H50" s="58" t="str">
        <x:v>X</x:v>
      </x:c>
      <x:c r="I50" s="58" t="str">
        <x:v>O</x:v>
      </x:c>
      <x:c r="J50" s="58" t="str">
        <x:v>X</x:v>
      </x:c>
      <x:c r="K50" s="58" t="str">
        <x:v>O</x:v>
      </x:c>
      <x:c r="L50" s="58" t="str">
        <x:v>X</x:v>
      </x:c>
      <x:c r="M50" s="58" t="str">
        <x:v>X</x:v>
      </x:c>
      <x:c r="N50" s="36" t="str">
        <x:v>Nhân viên CSKH/Admin xử lý hàng đợi; Pending chỉ có Duyệt hoặc Từ chối; Approved mới gọi gateway.</x:v>
      </x:c>
      <x:c r="O50" s="58" t="n">
        <x:f>COUNTIF(F50:M50,"O")+COUNTIF(F50:M50,"O*")</x:f>
        <x:v>2</x:v>
      </x:c>
      <x:c r="P50" s="58" t="str">
        <x:f>IF(O50=0,"MỒ CÔI","Đã phủ")</x:f>
        <x:v>Đã phủ</x:v>
      </x:c>
    </x:row>
    <x:row r="51" ht="40" customHeight="1">
      <x:c r="A51" s="36" t="n">
        <x:v>47</x:v>
      </x:c>
      <x:c r="B51" s="36" t="str">
        <x:v>AUD-ADV-01</x:v>
      </x:c>
      <x:c r="C51" s="36" t="str">
        <x:v>Audit Log</x:v>
      </x:c>
      <x:c r="D51" s="36" t="str">
        <x:v>Giám sát</x:v>
      </x:c>
      <x:c r="E51" s="36" t="str">
        <x:v>Xem và truy vấn nhật ký thao tác</x:v>
      </x:c>
      <x:c r="F51" s="58" t="str">
        <x:v>X</x:v>
      </x:c>
      <x:c r="G51" s="58" t="str">
        <x:v>X</x:v>
      </x:c>
      <x:c r="H51" s="58" t="str">
        <x:v>X</x:v>
      </x:c>
      <x:c r="I51" s="58" t="str">
        <x:v>X</x:v>
      </x:c>
      <x:c r="J51" s="58" t="str">
        <x:v>X</x:v>
      </x:c>
      <x:c r="K51" s="58" t="str">
        <x:v>O</x:v>
      </x:c>
      <x:c r="L51" s="58" t="str">
        <x:v>X</x:v>
      </x:c>
      <x:c r="M51" s="58" t="str">
        <x:v>X</x:v>
      </x:c>
      <x:c r="N51" s="36" t="str">
        <x:v>Chỉ Quản trị viên; áp dụng nguyên tắc tối thiểu, không tự khóa admin đang đăng nhập.</x:v>
      </x:c>
      <x:c r="O51" s="58" t="n">
        <x:f>COUNTIF(F51:M51,"O")+COUNTIF(F51:M51,"O*")</x:f>
        <x:v>1</x:v>
      </x:c>
      <x:c r="P51" s="58" t="str">
        <x:f>IF(O51=0,"MỒ CÔI","Đã phủ")</x:f>
        <x:v>Đã phủ</x:v>
      </x:c>
    </x:row>
    <x:row r="52" ht="40" customHeight="1">
      <x:c r="A52" s="36" t="n">
        <x:v>48</x:v>
      </x:c>
      <x:c r="B52" s="36" t="str">
        <x:v>ORD-WF-04</x:v>
      </x:c>
      <x:c r="C52" s="36" t="str">
        <x:v>Order/Cart</x:v>
      </x:c>
      <x:c r="D52" s="36" t="str">
        <x:v>Đặt hàng</x:v>
      </x:c>
      <x:c r="E52" s="36" t="str">
        <x:v>Kiểm tra idempotency checkout</x:v>
      </x:c>
      <x:c r="F52" s="58" t="str">
        <x:v>X</x:v>
      </x:c>
      <x:c r="G52" s="58" t="str">
        <x:v>X</x:v>
      </x:c>
      <x:c r="H52" s="58" t="str">
        <x:v>X</x:v>
      </x:c>
      <x:c r="I52" s="58" t="str">
        <x:v>X</x:v>
      </x:c>
      <x:c r="J52" s="58" t="str">
        <x:v>X</x:v>
      </x:c>
      <x:c r="K52" s="58" t="str">
        <x:v>X</x:v>
      </x:c>
      <x:c r="L52" s="58" t="str">
        <x:v>X</x:v>
      </x:c>
      <x:c r="M52" s="58" t="str">
        <x:v>O</x:v>
      </x:c>
      <x:c r="N52" s="36" t="str">
        <x:v>Order/Cart / Đặt hàng: quyền được gán theo actor, hàng đợi công việc và trạng thái hiện tại.</x:v>
      </x:c>
      <x:c r="O52" s="58" t="n">
        <x:f>COUNTIF(F52:M52,"O")+COUNTIF(F52:M52,"O*")</x:f>
        <x:v>1</x:v>
      </x:c>
      <x:c r="P52" s="58" t="str">
        <x:f>IF(O52=0,"MỒ CÔI","Đã phủ")</x:f>
        <x:v>Đã phủ</x:v>
      </x:c>
    </x:row>
    <x:row r="53" ht="40" customHeight="1">
      <x:c r="A53" s="36" t="n">
        <x:v>49</x:v>
      </x:c>
      <x:c r="B53" s="36" t="str">
        <x:v>ORD-WF-05</x:v>
      </x:c>
      <x:c r="C53" s="36" t="str">
        <x:v>Product/Cart</x:v>
      </x:c>
      <x:c r="D53" s="36" t="str">
        <x:v>Đặt hàng</x:v>
      </x:c>
      <x:c r="E53" s="36" t="str">
        <x:v>Tính lại giá và kiểm tra tồn</x:v>
      </x:c>
      <x:c r="F53" s="58" t="str">
        <x:v>X</x:v>
      </x:c>
      <x:c r="G53" s="58" t="str">
        <x:v>X</x:v>
      </x:c>
      <x:c r="H53" s="58" t="str">
        <x:v>X</x:v>
      </x:c>
      <x:c r="I53" s="58" t="str">
        <x:v>X</x:v>
      </x:c>
      <x:c r="J53" s="58" t="str">
        <x:v>X</x:v>
      </x:c>
      <x:c r="K53" s="58" t="str">
        <x:v>X</x:v>
      </x:c>
      <x:c r="L53" s="58" t="str">
        <x:v>X</x:v>
      </x:c>
      <x:c r="M53" s="58" t="str">
        <x:v>O</x:v>
      </x:c>
      <x:c r="N53" s="36" t="str">
        <x:v>Product/Cart / Đặt hàng: quyền được gán theo actor, hàng đợi công việc và trạng thái hiện tại.</x:v>
      </x:c>
      <x:c r="O53" s="58" t="n">
        <x:f>COUNTIF(F53:M53,"O")+COUNTIF(F53:M53,"O*")</x:f>
        <x:v>1</x:v>
      </x:c>
      <x:c r="P53" s="58" t="str">
        <x:f>IF(O53=0,"MỒ CÔI","Đã phủ")</x:f>
        <x:v>Đã phủ</x:v>
      </x:c>
    </x:row>
    <x:row r="54" ht="40" customHeight="1">
      <x:c r="A54" s="36" t="n">
        <x:v>50</x:v>
      </x:c>
      <x:c r="B54" s="36" t="str">
        <x:v>ORD-WF-06</x:v>
      </x:c>
      <x:c r="C54" s="36" t="str">
        <x:v>Payment</x:v>
      </x:c>
      <x:c r="D54" s="36" t="str">
        <x:v>Thanh toán</x:v>
      </x:c>
      <x:c r="E54" s="36" t="str">
        <x:v>Khởi tạo COD Pending</x:v>
      </x:c>
      <x:c r="F54" s="58" t="str">
        <x:v>X</x:v>
      </x:c>
      <x:c r="G54" s="58" t="str">
        <x:v>X</x:v>
      </x:c>
      <x:c r="H54" s="58" t="str">
        <x:v>X</x:v>
      </x:c>
      <x:c r="I54" s="58" t="str">
        <x:v>X</x:v>
      </x:c>
      <x:c r="J54" s="58" t="str">
        <x:v>X</x:v>
      </x:c>
      <x:c r="K54" s="58" t="str">
        <x:v>X</x:v>
      </x:c>
      <x:c r="L54" s="58" t="str">
        <x:v>X</x:v>
      </x:c>
      <x:c r="M54" s="58" t="str">
        <x:v>O</x:v>
      </x:c>
      <x:c r="N54" s="36" t="str">
        <x:v>Payment / Thanh toán: quyền được gán theo actor, hàng đợi công việc và trạng thái hiện tại.</x:v>
      </x:c>
      <x:c r="O54" s="58" t="n">
        <x:f>COUNTIF(F54:M54,"O")+COUNTIF(F54:M54,"O*")</x:f>
        <x:v>1</x:v>
      </x:c>
      <x:c r="P54" s="58" t="str">
        <x:f>IF(O54=0,"MỒ CÔI","Đã phủ")</x:f>
        <x:v>Đã phủ</x:v>
      </x:c>
    </x:row>
    <x:row r="55" ht="40" customHeight="1">
      <x:c r="A55" s="36" t="n">
        <x:v>51</x:v>
      </x:c>
      <x:c r="B55" s="36" t="str">
        <x:v>ORD-WF-07</x:v>
      </x:c>
      <x:c r="C55" s="36" t="str">
        <x:v>Payment</x:v>
      </x:c>
      <x:c r="D55" s="36" t="str">
        <x:v>Thanh toán</x:v>
      </x:c>
      <x:c r="E55" s="36" t="str">
        <x:v>Ủy quyền thanh toán online</x:v>
      </x:c>
      <x:c r="F55" s="58" t="str">
        <x:v>X</x:v>
      </x:c>
      <x:c r="G55" s="58" t="str">
        <x:v>X</x:v>
      </x:c>
      <x:c r="H55" s="58" t="str">
        <x:v>X</x:v>
      </x:c>
      <x:c r="I55" s="58" t="str">
        <x:v>X</x:v>
      </x:c>
      <x:c r="J55" s="58" t="str">
        <x:v>X</x:v>
      </x:c>
      <x:c r="K55" s="58" t="str">
        <x:v>X</x:v>
      </x:c>
      <x:c r="L55" s="58" t="str">
        <x:v>X</x:v>
      </x:c>
      <x:c r="M55" s="58" t="str">
        <x:v>O</x:v>
      </x:c>
      <x:c r="N55" s="36" t="str">
        <x:v>Payment / Thanh toán: quyền được gán theo actor, hàng đợi công việc và trạng thái hiện tại.</x:v>
      </x:c>
      <x:c r="O55" s="58" t="n">
        <x:f>COUNTIF(F55:M55,"O")+COUNTIF(F55:M55,"O*")</x:f>
        <x:v>1</x:v>
      </x:c>
      <x:c r="P55" s="58" t="str">
        <x:f>IF(O55=0,"MỒ CÔI","Đã phủ")</x:f>
        <x:v>Đã phủ</x:v>
      </x:c>
    </x:row>
    <x:row r="56" ht="40" customHeight="1">
      <x:c r="A56" s="36" t="n">
        <x:v>52</x:v>
      </x:c>
      <x:c r="B56" s="36" t="str">
        <x:v>ORD-WF-08</x:v>
      </x:c>
      <x:c r="C56" s="36" t="str">
        <x:v>Payment</x:v>
      </x:c>
      <x:c r="D56" s="36" t="str">
        <x:v>Thanh toán</x:v>
      </x:c>
      <x:c r="E56" s="36" t="str">
        <x:v>Xử lý thanh toán thất bại</x:v>
      </x:c>
      <x:c r="F56" s="58" t="str">
        <x:v>X</x:v>
      </x:c>
      <x:c r="G56" s="58" t="str">
        <x:v>X</x:v>
      </x:c>
      <x:c r="H56" s="58" t="str">
        <x:v>X</x:v>
      </x:c>
      <x:c r="I56" s="58" t="str">
        <x:v>X</x:v>
      </x:c>
      <x:c r="J56" s="58" t="str">
        <x:v>X</x:v>
      </x:c>
      <x:c r="K56" s="58" t="str">
        <x:v>X</x:v>
      </x:c>
      <x:c r="L56" s="58" t="str">
        <x:v>X</x:v>
      </x:c>
      <x:c r="M56" s="58" t="str">
        <x:v>O</x:v>
      </x:c>
      <x:c r="N56" s="36" t="str">
        <x:v>Payment / Thanh toán: quyền được gán theo actor, hàng đợi công việc và trạng thái hiện tại.</x:v>
      </x:c>
      <x:c r="O56" s="58" t="n">
        <x:f>COUNTIF(F56:M56,"O")+COUNTIF(F56:M56,"O*")</x:f>
        <x:v>1</x:v>
      </x:c>
      <x:c r="P56" s="58" t="str">
        <x:f>IF(O56=0,"MỒ CÔI","Đã phủ")</x:f>
        <x:v>Đã phủ</x:v>
      </x:c>
    </x:row>
    <x:row r="57" ht="40" customHeight="1">
      <x:c r="A57" s="36" t="n">
        <x:v>53</x:v>
      </x:c>
      <x:c r="B57" s="36" t="str">
        <x:v>ORD-WF-09</x:v>
      </x:c>
      <x:c r="C57" s="36" t="str">
        <x:v>Order/Items/Payment/Shipment</x:v>
      </x:c>
      <x:c r="D57" s="36" t="str">
        <x:v>Đặt hàng</x:v>
      </x:c>
      <x:c r="E57" s="36" t="str">
        <x:v>Commit giao dịch tạo đơn</x:v>
      </x:c>
      <x:c r="F57" s="58" t="str">
        <x:v>X</x:v>
      </x:c>
      <x:c r="G57" s="58" t="str">
        <x:v>X</x:v>
      </x:c>
      <x:c r="H57" s="58" t="str">
        <x:v>X</x:v>
      </x:c>
      <x:c r="I57" s="58" t="str">
        <x:v>X</x:v>
      </x:c>
      <x:c r="J57" s="58" t="str">
        <x:v>X</x:v>
      </x:c>
      <x:c r="K57" s="58" t="str">
        <x:v>X</x:v>
      </x:c>
      <x:c r="L57" s="58" t="str">
        <x:v>X</x:v>
      </x:c>
      <x:c r="M57" s="58" t="str">
        <x:v>O</x:v>
      </x:c>
      <x:c r="N57" s="36" t="str">
        <x:v>Order/Items/Payment/Shipment / Đặt hàng: quyền được gán theo actor, hàng đợi công việc và trạng thái hiện tại.</x:v>
      </x:c>
      <x:c r="O57" s="58" t="n">
        <x:f>COUNTIF(F57:M57,"O")+COUNTIF(F57:M57,"O*")</x:f>
        <x:v>1</x:v>
      </x:c>
      <x:c r="P57" s="58" t="str">
        <x:f>IF(O57=0,"MỒ CÔI","Đã phủ")</x:f>
        <x:v>Đã phủ</x:v>
      </x:c>
    </x:row>
    <x:row r="58" ht="40" customHeight="1">
      <x:c r="A58" s="36" t="n">
        <x:v>54</x:v>
      </x:c>
      <x:c r="B58" s="36" t="str">
        <x:v>ORD-WF-10</x:v>
      </x:c>
      <x:c r="C58" s="36" t="str">
        <x:v>Order</x:v>
      </x:c>
      <x:c r="D58" s="36" t="str">
        <x:v>Thông báo</x:v>
      </x:c>
      <x:c r="E58" s="36" t="str">
        <x:v>Gửi xác nhận và mã theo dõi</x:v>
      </x:c>
      <x:c r="F58" s="58" t="str">
        <x:v>X</x:v>
      </x:c>
      <x:c r="G58" s="58" t="str">
        <x:v>X</x:v>
      </x:c>
      <x:c r="H58" s="58" t="str">
        <x:v>X</x:v>
      </x:c>
      <x:c r="I58" s="58" t="str">
        <x:v>X</x:v>
      </x:c>
      <x:c r="J58" s="58" t="str">
        <x:v>X</x:v>
      </x:c>
      <x:c r="K58" s="58" t="str">
        <x:v>X</x:v>
      </x:c>
      <x:c r="L58" s="58" t="str">
        <x:v>X</x:v>
      </x:c>
      <x:c r="M58" s="58" t="str">
        <x:v>O</x:v>
      </x:c>
      <x:c r="N58" s="36" t="str">
        <x:v>Order / Thông báo: quyền được gán theo actor, hàng đợi công việc và trạng thái hiện tại.</x:v>
      </x:c>
      <x:c r="O58" s="58" t="n">
        <x:f>COUNTIF(F58:M58,"O")+COUNTIF(F58:M58,"O*")</x:f>
        <x:v>1</x:v>
      </x:c>
      <x:c r="P58" s="58" t="str">
        <x:f>IF(O58=0,"MỒ CÔI","Đã phủ")</x:f>
        <x:v>Đã phủ</x:v>
      </x:c>
    </x:row>
    <x:row r="59" ht="40" customHeight="1">
      <x:c r="A59" s="36" t="n">
        <x:v>55</x:v>
      </x:c>
      <x:c r="B59" s="36" t="str">
        <x:v>ORD-WF-11</x:v>
      </x:c>
      <x:c r="C59" s="36" t="str">
        <x:v>Order/Product</x:v>
      </x:c>
      <x:c r="D59" s="36" t="str">
        <x:v>Hủy đơn</x:v>
      </x:c>
      <x:c r="E59" s="36" t="str">
        <x:v>Hoàn tồn kho khi hủy</x:v>
      </x:c>
      <x:c r="F59" s="58" t="str">
        <x:v>X</x:v>
      </x:c>
      <x:c r="G59" s="58" t="str">
        <x:v>X</x:v>
      </x:c>
      <x:c r="H59" s="58" t="str">
        <x:v>X</x:v>
      </x:c>
      <x:c r="I59" s="58" t="str">
        <x:v>X</x:v>
      </x:c>
      <x:c r="J59" s="58" t="str">
        <x:v>X</x:v>
      </x:c>
      <x:c r="K59" s="58" t="str">
        <x:v>X</x:v>
      </x:c>
      <x:c r="L59" s="58" t="str">
        <x:v>X</x:v>
      </x:c>
      <x:c r="M59" s="58" t="str">
        <x:v>O</x:v>
      </x:c>
      <x:c r="N59" s="36" t="str">
        <x:v>Order/Product / Hủy đơn: quyền được gán theo actor, hàng đợi công việc và trạng thái hiện tại.</x:v>
      </x:c>
      <x:c r="O59" s="58" t="n">
        <x:f>COUNTIF(F59:M59,"O")+COUNTIF(F59:M59,"O*")</x:f>
        <x:v>1</x:v>
      </x:c>
      <x:c r="P59" s="58" t="str">
        <x:f>IF(O59=0,"MỒ CÔI","Đã phủ")</x:f>
        <x:v>Đã phủ</x:v>
      </x:c>
    </x:row>
    <x:row r="60" ht="40" customHeight="1">
      <x:c r="A60" s="36" t="n">
        <x:v>56</x:v>
      </x:c>
      <x:c r="B60" s="36" t="str">
        <x:v>ORD-WF-12</x:v>
      </x:c>
      <x:c r="C60" s="36" t="str">
        <x:v>Order/Refund</x:v>
      </x:c>
      <x:c r="D60" s="36" t="str">
        <x:v>Hủy đơn</x:v>
      </x:c>
      <x:c r="E60" s="36" t="str">
        <x:v>Hoàn tiền tự động khi đơn Paid bị hủy</x:v>
      </x:c>
      <x:c r="F60" s="58" t="str">
        <x:v>X</x:v>
      </x:c>
      <x:c r="G60" s="58" t="str">
        <x:v>X</x:v>
      </x:c>
      <x:c r="H60" s="58" t="str">
        <x:v>X</x:v>
      </x:c>
      <x:c r="I60" s="58" t="str">
        <x:v>X</x:v>
      </x:c>
      <x:c r="J60" s="58" t="str">
        <x:v>X</x:v>
      </x:c>
      <x:c r="K60" s="58" t="str">
        <x:v>X</x:v>
      </x:c>
      <x:c r="L60" s="58" t="str">
        <x:v>X</x:v>
      </x:c>
      <x:c r="M60" s="58" t="str">
        <x:v>O</x:v>
      </x:c>
      <x:c r="N60" s="36" t="str">
        <x:v>Order/Refund / Hủy đơn: quyền được gán theo actor, hàng đợi công việc và trạng thái hiện tại.</x:v>
      </x:c>
      <x:c r="O60" s="58" t="n">
        <x:f>COUNTIF(F60:M60,"O")+COUNTIF(F60:M60,"O*")</x:f>
        <x:v>1</x:v>
      </x:c>
      <x:c r="P60" s="58" t="str">
        <x:f>IF(O60=0,"MỒ CÔI","Đã phủ")</x:f>
        <x:v>Đã phủ</x:v>
      </x:c>
    </x:row>
    <x:row r="61" ht="40" customHeight="1">
      <x:c r="A61" s="36" t="n">
        <x:v>57</x:v>
      </x:c>
      <x:c r="B61" s="36" t="str">
        <x:v>ORD-WF-13</x:v>
      </x:c>
      <x:c r="C61" s="36" t="str">
        <x:v>Order/Shipment</x:v>
      </x:c>
      <x:c r="D61" s="36" t="str">
        <x:v>Kho vận</x:v>
      </x:c>
      <x:c r="E61" s="36" t="str">
        <x:v>Chuyển Confirmed sang Preparing</x:v>
      </x:c>
      <x:c r="F61" s="58" t="str">
        <x:v>X</x:v>
      </x:c>
      <x:c r="G61" s="58" t="str">
        <x:v>X</x:v>
      </x:c>
      <x:c r="H61" s="58" t="str">
        <x:v>O</x:v>
      </x:c>
      <x:c r="I61" s="58" t="str">
        <x:v>X</x:v>
      </x:c>
      <x:c r="J61" s="58" t="str">
        <x:v>X</x:v>
      </x:c>
      <x:c r="K61" s="58" t="str">
        <x:v>O</x:v>
      </x:c>
      <x:c r="L61" s="58" t="str">
        <x:v>X</x:v>
      </x:c>
      <x:c r="M61" s="58" t="str">
        <x:v>X</x:v>
      </x:c>
      <x:c r="N61" s="36" t="str">
        <x:v>Chỉ Nhân viên kho/Admin; nút hiển thị khi Order = Confirmed, chuyển sang Preparing.</x:v>
      </x:c>
      <x:c r="O61" s="58" t="n">
        <x:f>COUNTIF(F61:M61,"O")+COUNTIF(F61:M61,"O*")</x:f>
        <x:v>2</x:v>
      </x:c>
      <x:c r="P61" s="58" t="str">
        <x:f>IF(O61=0,"MỒ CÔI","Đã phủ")</x:f>
        <x:v>Đã phủ</x:v>
      </x:c>
    </x:row>
    <x:row r="62" ht="40" customHeight="1">
      <x:c r="A62" s="36" t="n">
        <x:v>58</x:v>
      </x:c>
      <x:c r="B62" s="36" t="str">
        <x:v>ORD-WF-14</x:v>
      </x:c>
      <x:c r="C62" s="36" t="str">
        <x:v>Order/Shipment</x:v>
      </x:c>
      <x:c r="D62" s="36" t="str">
        <x:v>Kho vận</x:v>
      </x:c>
      <x:c r="E62" s="36" t="str">
        <x:v>Bàn giao và chuyển Shipping</x:v>
      </x:c>
      <x:c r="F62" s="58" t="str">
        <x:v>X</x:v>
      </x:c>
      <x:c r="G62" s="58" t="str">
        <x:v>X</x:v>
      </x:c>
      <x:c r="H62" s="58" t="str">
        <x:v>O</x:v>
      </x:c>
      <x:c r="I62" s="58" t="str">
        <x:v>X</x:v>
      </x:c>
      <x:c r="J62" s="58" t="str">
        <x:v>X</x:v>
      </x:c>
      <x:c r="K62" s="58" t="str">
        <x:v>O</x:v>
      </x:c>
      <x:c r="L62" s="58" t="str">
        <x:v>X</x:v>
      </x:c>
      <x:c r="M62" s="58" t="str">
        <x:v>X</x:v>
      </x:c>
      <x:c r="N62" s="36" t="str">
        <x:v>Chỉ Nhân viên kho/Admin; cần carrier + tracking; nút hiển thị khi Order = Preparing, chuyển sang Shipping.</x:v>
      </x:c>
      <x:c r="O62" s="58" t="n">
        <x:f>COUNTIF(F62:M62,"O")+COUNTIF(F62:M62,"O*")</x:f>
        <x:v>2</x:v>
      </x:c>
      <x:c r="P62" s="58" t="str">
        <x:f>IF(O62=0,"MỒ CÔI","Đã phủ")</x:f>
        <x:v>Đã phủ</x:v>
      </x:c>
    </x:row>
    <x:row r="63" ht="40" customHeight="1">
      <x:c r="A63" s="36" t="n">
        <x:v>59</x:v>
      </x:c>
      <x:c r="B63" s="36" t="str">
        <x:v>ORD-WF-15</x:v>
      </x:c>
      <x:c r="C63" s="36" t="str">
        <x:v>Shipment</x:v>
      </x:c>
      <x:c r="D63" s="36" t="str">
        <x:v>Vận chuyển</x:v>
      </x:c>
      <x:c r="E63" s="36" t="str">
        <x:v>Nhận kết quả giao hàng</x:v>
      </x:c>
      <x:c r="F63" s="58" t="str">
        <x:v>X</x:v>
      </x:c>
      <x:c r="G63" s="58" t="str">
        <x:v>X</x:v>
      </x:c>
      <x:c r="H63" s="58" t="str">
        <x:v>X</x:v>
      </x:c>
      <x:c r="I63" s="58" t="str">
        <x:v>X</x:v>
      </x:c>
      <x:c r="J63" s="58" t="str">
        <x:v>X</x:v>
      </x:c>
      <x:c r="K63" s="58" t="str">
        <x:v>X</x:v>
      </x:c>
      <x:c r="L63" s="58" t="str">
        <x:v>O</x:v>
      </x:c>
      <x:c r="M63" s="58" t="str">
        <x:v>O</x:v>
      </x:c>
      <x:c r="N63" s="36" t="str">
        <x:v>Webhook/API Carrier có chữ ký; chỉ shipment Shipping đã bàn giao; ghi Audit và bằng chứng giao.</x:v>
      </x:c>
      <x:c r="O63" s="58" t="n">
        <x:f>COUNTIF(F63:M63,"O")+COUNTIF(F63:M63,"O*")</x:f>
        <x:v>2</x:v>
      </x:c>
      <x:c r="P63" s="58" t="str">
        <x:f>IF(O63=0,"MỒ CÔI","Đã phủ")</x:f>
        <x:v>Đã phủ</x:v>
      </x:c>
    </x:row>
    <x:row r="64" ht="40" customHeight="1">
      <x:c r="A64" s="36" t="n">
        <x:v>60</x:v>
      </x:c>
      <x:c r="B64" s="36" t="str">
        <x:v>ORD-WF-16</x:v>
      </x:c>
      <x:c r="C64" s="36" t="str">
        <x:v>Shipment</x:v>
      </x:c>
      <x:c r="D64" s="36" t="str">
        <x:v>Vận chuyển</x:v>
      </x:c>
      <x:c r="E64" s="36" t="str">
        <x:v>Lập lịch giao lại</x:v>
      </x:c>
      <x:c r="F64" s="58" t="str">
        <x:v>X</x:v>
      </x:c>
      <x:c r="G64" s="58" t="str">
        <x:v>X</x:v>
      </x:c>
      <x:c r="H64" s="58" t="str">
        <x:v>X</x:v>
      </x:c>
      <x:c r="I64" s="58" t="str">
        <x:v>X</x:v>
      </x:c>
      <x:c r="J64" s="58" t="str">
        <x:v>X</x:v>
      </x:c>
      <x:c r="K64" s="58" t="str">
        <x:v>X</x:v>
      </x:c>
      <x:c r="L64" s="58" t="str">
        <x:v>O</x:v>
      </x:c>
      <x:c r="M64" s="58" t="str">
        <x:v>O</x:v>
      </x:c>
      <x:c r="N64" s="36" t="str">
        <x:v>Webhook/API Carrier có chữ ký; chỉ shipment Shipping đã bàn giao; ghi Audit và bằng chứng giao.</x:v>
      </x:c>
      <x:c r="O64" s="58" t="n">
        <x:f>COUNTIF(F64:M64,"O")+COUNTIF(F64:M64,"O*")</x:f>
        <x:v>2</x:v>
      </x:c>
      <x:c r="P64" s="58" t="str">
        <x:f>IF(O64=0,"MỒ CÔI","Đã phủ")</x:f>
        <x:v>Đã phủ</x:v>
      </x:c>
    </x:row>
    <x:row r="65" ht="40" customHeight="1">
      <x:c r="A65" s="36" t="n">
        <x:v>61</x:v>
      </x:c>
      <x:c r="B65" s="36" t="str">
        <x:v>ORD-WF-17</x:v>
      </x:c>
      <x:c r="C65" s="36" t="str">
        <x:v>Order/Shipment</x:v>
      </x:c>
      <x:c r="D65" s="36" t="str">
        <x:v>Vận chuyển</x:v>
      </x:c>
      <x:c r="E65" s="36" t="str">
        <x:v>Cập nhật Delivered và bằng chứng</x:v>
      </x:c>
      <x:c r="F65" s="58" t="str">
        <x:v>X</x:v>
      </x:c>
      <x:c r="G65" s="58" t="str">
        <x:v>X</x:v>
      </x:c>
      <x:c r="H65" s="58" t="str">
        <x:v>X</x:v>
      </x:c>
      <x:c r="I65" s="58" t="str">
        <x:v>X</x:v>
      </x:c>
      <x:c r="J65" s="58" t="str">
        <x:v>X</x:v>
      </x:c>
      <x:c r="K65" s="58" t="str">
        <x:v>X</x:v>
      </x:c>
      <x:c r="L65" s="58" t="str">
        <x:v>O</x:v>
      </x:c>
      <x:c r="M65" s="58" t="str">
        <x:v>O</x:v>
      </x:c>
      <x:c r="N65" s="36" t="str">
        <x:v>Webhook/API Carrier có chữ ký; chỉ shipment Shipping đã bàn giao; ghi Audit và bằng chứng giao.</x:v>
      </x:c>
      <x:c r="O65" s="58" t="n">
        <x:f>COUNTIF(F65:M65,"O")+COUNTIF(F65:M65,"O*")</x:f>
        <x:v>2</x:v>
      </x:c>
      <x:c r="P65" s="58" t="str">
        <x:f>IF(O65=0,"MỒ CÔI","Đã phủ")</x:f>
        <x:v>Đã phủ</x:v>
      </x:c>
    </x:row>
    <x:row r="66" ht="40" customHeight="1">
      <x:c r="A66" s="36" t="n">
        <x:v>62</x:v>
      </x:c>
      <x:c r="B66" s="36" t="str">
        <x:v>REF-WF-03</x:v>
      </x:c>
      <x:c r="C66" s="36" t="str">
        <x:v>Refund Request</x:v>
      </x:c>
      <x:c r="D66" s="36" t="str">
        <x:v>Hoàn tiền</x:v>
      </x:c>
      <x:c r="E66" s="36" t="str">
        <x:v>Kiểm tra điều kiện yêu cầu</x:v>
      </x:c>
      <x:c r="F66" s="58" t="str">
        <x:v>X</x:v>
      </x:c>
      <x:c r="G66" s="58" t="str">
        <x:v>X</x:v>
      </x:c>
      <x:c r="H66" s="58" t="str">
        <x:v>X</x:v>
      </x:c>
      <x:c r="I66" s="58" t="str">
        <x:v>X</x:v>
      </x:c>
      <x:c r="J66" s="58" t="str">
        <x:v>X</x:v>
      </x:c>
      <x:c r="K66" s="58" t="str">
        <x:v>X</x:v>
      </x:c>
      <x:c r="L66" s="58" t="str">
        <x:v>X</x:v>
      </x:c>
      <x:c r="M66" s="58" t="str">
        <x:v>O</x:v>
      </x:c>
      <x:c r="N66" s="36" t="str">
        <x:v>Refund Request / Hoàn tiền: quyền được gán theo actor, hàng đợi công việc và trạng thái hiện tại.</x:v>
      </x:c>
      <x:c r="O66" s="58" t="n">
        <x:f>COUNTIF(F66:M66,"O")+COUNTIF(F66:M66,"O*")</x:f>
        <x:v>1</x:v>
      </x:c>
      <x:c r="P66" s="58" t="str">
        <x:f>IF(O66=0,"MỒ CÔI","Đã phủ")</x:f>
        <x:v>Đã phủ</x:v>
      </x:c>
    </x:row>
    <x:row r="67" ht="40" customHeight="1">
      <x:c r="A67" s="36" t="n">
        <x:v>63</x:v>
      </x:c>
      <x:c r="B67" s="36" t="str">
        <x:v>REF-WF-04</x:v>
      </x:c>
      <x:c r="C67" s="36" t="str">
        <x:v>Refund Request/Audit</x:v>
      </x:c>
      <x:c r="D67" s="36" t="str">
        <x:v>Hoàn tiền</x:v>
      </x:c>
      <x:c r="E67" s="36" t="str">
        <x:v>Tạo Pending và Audit Log</x:v>
      </x:c>
      <x:c r="F67" s="58" t="str">
        <x:v>X</x:v>
      </x:c>
      <x:c r="G67" s="58" t="str">
        <x:v>X</x:v>
      </x:c>
      <x:c r="H67" s="58" t="str">
        <x:v>X</x:v>
      </x:c>
      <x:c r="I67" s="58" t="str">
        <x:v>X</x:v>
      </x:c>
      <x:c r="J67" s="58" t="str">
        <x:v>X</x:v>
      </x:c>
      <x:c r="K67" s="58" t="str">
        <x:v>X</x:v>
      </x:c>
      <x:c r="L67" s="58" t="str">
        <x:v>X</x:v>
      </x:c>
      <x:c r="M67" s="58" t="str">
        <x:v>O</x:v>
      </x:c>
      <x:c r="N67" s="36" t="str">
        <x:v>Refund Request/Audit / Hoàn tiền: quyền được gán theo actor, hàng đợi công việc và trạng thái hiện tại.</x:v>
      </x:c>
      <x:c r="O67" s="58" t="n">
        <x:f>COUNTIF(F67:M67,"O")+COUNTIF(F67:M67,"O*")</x:f>
        <x:v>1</x:v>
      </x:c>
      <x:c r="P67" s="58" t="str">
        <x:f>IF(O67=0,"MỒ CÔI","Đã phủ")</x:f>
        <x:v>Đã phủ</x:v>
      </x:c>
    </x:row>
    <x:row r="68" ht="40" customHeight="1">
      <x:c r="A68" s="36" t="n">
        <x:v>64</x:v>
      </x:c>
      <x:c r="B68" s="36" t="str">
        <x:v>REF-WF-05</x:v>
      </x:c>
      <x:c r="C68" s="36" t="str">
        <x:v>Refund Request</x:v>
      </x:c>
      <x:c r="D68" s="36" t="str">
        <x:v>Hoàn tiền</x:v>
      </x:c>
      <x:c r="E68" s="36" t="str">
        <x:v>Thẩm định yêu cầu</x:v>
      </x:c>
      <x:c r="F68" s="58" t="str">
        <x:v>X</x:v>
      </x:c>
      <x:c r="G68" s="58" t="str">
        <x:v>X</x:v>
      </x:c>
      <x:c r="H68" s="58" t="str">
        <x:v>X</x:v>
      </x:c>
      <x:c r="I68" s="58" t="str">
        <x:v>O</x:v>
      </x:c>
      <x:c r="J68" s="58" t="str">
        <x:v>X</x:v>
      </x:c>
      <x:c r="K68" s="58" t="str">
        <x:v>O</x:v>
      </x:c>
      <x:c r="L68" s="58" t="str">
        <x:v>X</x:v>
      </x:c>
      <x:c r="M68" s="58" t="str">
        <x:v>X</x:v>
      </x:c>
      <x:c r="N68" s="36" t="str">
        <x:v>Nhân viên CSKH/Admin xử lý hàng đợi; Pending chỉ có Duyệt hoặc Từ chối; Approved mới gọi gateway.</x:v>
      </x:c>
      <x:c r="O68" s="58" t="n">
        <x:f>COUNTIF(F68:M68,"O")+COUNTIF(F68:M68,"O*")</x:f>
        <x:v>2</x:v>
      </x:c>
      <x:c r="P68" s="58" t="str">
        <x:f>IF(O68=0,"MỒ CÔI","Đã phủ")</x:f>
        <x:v>Đã phủ</x:v>
      </x:c>
    </x:row>
    <x:row r="69" ht="40" customHeight="1">
      <x:c r="A69" s="36" t="n">
        <x:v>65</x:v>
      </x:c>
      <x:c r="B69" s="36" t="str">
        <x:v>REF-WF-06</x:v>
      </x:c>
      <x:c r="C69" s="36" t="str">
        <x:v>Refund Request/Audit</x:v>
      </x:c>
      <x:c r="D69" s="36" t="str">
        <x:v>Hoàn tiền</x:v>
      </x:c>
      <x:c r="E69" s="36" t="str">
        <x:v>Từ chối và thông báo</x:v>
      </x:c>
      <x:c r="F69" s="58" t="str">
        <x:v>X</x:v>
      </x:c>
      <x:c r="G69" s="58" t="str">
        <x:v>X</x:v>
      </x:c>
      <x:c r="H69" s="58" t="str">
        <x:v>X</x:v>
      </x:c>
      <x:c r="I69" s="58" t="str">
        <x:v>O</x:v>
      </x:c>
      <x:c r="J69" s="58" t="str">
        <x:v>X</x:v>
      </x:c>
      <x:c r="K69" s="58" t="str">
        <x:v>O</x:v>
      </x:c>
      <x:c r="L69" s="58" t="str">
        <x:v>X</x:v>
      </x:c>
      <x:c r="M69" s="58" t="str">
        <x:v>X</x:v>
      </x:c>
      <x:c r="N69" s="36" t="str">
        <x:v>Nhân viên CSKH/Admin xử lý hàng đợi; Pending chỉ có Duyệt hoặc Từ chối; Approved mới gọi gateway.</x:v>
      </x:c>
      <x:c r="O69" s="58" t="n">
        <x:f>COUNTIF(F69:M69,"O")+COUNTIF(F69:M69,"O*")</x:f>
        <x:v>2</x:v>
      </x:c>
      <x:c r="P69" s="58" t="str">
        <x:f>IF(O69=0,"MỒ CÔI","Đã phủ")</x:f>
        <x:v>Đã phủ</x:v>
      </x:c>
    </x:row>
    <x:row r="70" ht="40" customHeight="1">
      <x:c r="A70" s="36" t="n">
        <x:v>66</x:v>
      </x:c>
      <x:c r="B70" s="36" t="str">
        <x:v>REF-WF-07</x:v>
      </x:c>
      <x:c r="C70" s="36" t="str">
        <x:v>Refund Request/Audit</x:v>
      </x:c>
      <x:c r="D70" s="36" t="str">
        <x:v>Hoàn tiền</x:v>
      </x:c>
      <x:c r="E70" s="36" t="str">
        <x:v>Phê duyệt yêu cầu</x:v>
      </x:c>
      <x:c r="F70" s="58" t="str">
        <x:v>X</x:v>
      </x:c>
      <x:c r="G70" s="58" t="str">
        <x:v>X</x:v>
      </x:c>
      <x:c r="H70" s="58" t="str">
        <x:v>X</x:v>
      </x:c>
      <x:c r="I70" s="58" t="str">
        <x:v>O</x:v>
      </x:c>
      <x:c r="J70" s="58" t="str">
        <x:v>X</x:v>
      </x:c>
      <x:c r="K70" s="58" t="str">
        <x:v>O</x:v>
      </x:c>
      <x:c r="L70" s="58" t="str">
        <x:v>X</x:v>
      </x:c>
      <x:c r="M70" s="58" t="str">
        <x:v>X</x:v>
      </x:c>
      <x:c r="N70" s="36" t="str">
        <x:v>Nhân viên CSKH/Admin xử lý hàng đợi; Pending chỉ có Duyệt hoặc Từ chối; Approved mới gọi gateway.</x:v>
      </x:c>
      <x:c r="O70" s="58" t="n">
        <x:f>COUNTIF(F70:M70,"O")+COUNTIF(F70:M70,"O*")</x:f>
        <x:v>2</x:v>
      </x:c>
      <x:c r="P70" s="58" t="str">
        <x:f>IF(O70=0,"MỒ CÔI","Đã phủ")</x:f>
        <x:v>Đã phủ</x:v>
      </x:c>
    </x:row>
    <x:row r="71" ht="40" customHeight="1">
      <x:c r="A71" s="36" t="n">
        <x:v>67</x:v>
      </x:c>
      <x:c r="B71" s="36" t="str">
        <x:v>REF-WF-08</x:v>
      </x:c>
      <x:c r="C71" s="36" t="str">
        <x:v>Payment/Refund</x:v>
      </x:c>
      <x:c r="D71" s="36" t="str">
        <x:v>Hoàn tiền</x:v>
      </x:c>
      <x:c r="E71" s="36" t="str">
        <x:v>Gọi cổng hoàn tiền</x:v>
      </x:c>
      <x:c r="F71" s="58" t="str">
        <x:v>X</x:v>
      </x:c>
      <x:c r="G71" s="58" t="str">
        <x:v>X</x:v>
      </x:c>
      <x:c r="H71" s="58" t="str">
        <x:v>X</x:v>
      </x:c>
      <x:c r="I71" s="58" t="str">
        <x:v>X</x:v>
      </x:c>
      <x:c r="J71" s="58" t="str">
        <x:v>X</x:v>
      </x:c>
      <x:c r="K71" s="58" t="str">
        <x:v>X</x:v>
      </x:c>
      <x:c r="L71" s="58" t="str">
        <x:v>X</x:v>
      </x:c>
      <x:c r="M71" s="58" t="str">
        <x:v>O</x:v>
      </x:c>
      <x:c r="N71" s="36" t="str">
        <x:v>Tác vụ máy-máy bằng idempotency key; lỗi giữ trạng thái Approved để retry, không hiển thị nút Completed cho CSKH.</x:v>
      </x:c>
      <x:c r="O71" s="58" t="n">
        <x:f>COUNTIF(F71:M71,"O")+COUNTIF(F71:M71,"O*")</x:f>
        <x:v>1</x:v>
      </x:c>
      <x:c r="P71" s="58" t="str">
        <x:f>IF(O71=0,"MỒ CÔI","Đã phủ")</x:f>
        <x:v>Đã phủ</x:v>
      </x:c>
    </x:row>
    <x:row r="72" ht="40" customHeight="1">
      <x:c r="A72" s="36" t="n">
        <x:v>68</x:v>
      </x:c>
      <x:c r="B72" s="36" t="str">
        <x:v>REF-WF-09</x:v>
      </x:c>
      <x:c r="C72" s="36" t="str">
        <x:v>Refund Request</x:v>
      </x:c>
      <x:c r="D72" s="36" t="str">
        <x:v>Hoàn tiền</x:v>
      </x:c>
      <x:c r="E72" s="36" t="str">
        <x:v>Xử lý gateway thất bại và retry</x:v>
      </x:c>
      <x:c r="F72" s="58" t="str">
        <x:v>X</x:v>
      </x:c>
      <x:c r="G72" s="58" t="str">
        <x:v>X</x:v>
      </x:c>
      <x:c r="H72" s="58" t="str">
        <x:v>X</x:v>
      </x:c>
      <x:c r="I72" s="58" t="str">
        <x:v>X</x:v>
      </x:c>
      <x:c r="J72" s="58" t="str">
        <x:v>X</x:v>
      </x:c>
      <x:c r="K72" s="58" t="str">
        <x:v>X</x:v>
      </x:c>
      <x:c r="L72" s="58" t="str">
        <x:v>X</x:v>
      </x:c>
      <x:c r="M72" s="58" t="str">
        <x:v>O</x:v>
      </x:c>
      <x:c r="N72" s="36" t="str">
        <x:v>Tác vụ máy-máy bằng idempotency key; lỗi giữ trạng thái Approved để retry, không hiển thị nút Completed cho CSKH.</x:v>
      </x:c>
      <x:c r="O72" s="58" t="n">
        <x:f>COUNTIF(F72:M72,"O")+COUNTIF(F72:M72,"O*")</x:f>
        <x:v>1</x:v>
      </x:c>
      <x:c r="P72" s="58" t="str">
        <x:f>IF(O72=0,"MỒ CÔI","Đã phủ")</x:f>
        <x:v>Đã phủ</x:v>
      </x:c>
    </x:row>
    <x:row r="73" ht="40" customHeight="1">
      <x:c r="A73" s="36" t="n">
        <x:v>69</x:v>
      </x:c>
      <x:c r="B73" s="36" t="str">
        <x:v>REF-WF-10</x:v>
      </x:c>
      <x:c r="C73" s="36" t="str">
        <x:v>Refund/Order/Payment</x:v>
      </x:c>
      <x:c r="D73" s="36" t="str">
        <x:v>Hoàn tiền</x:v>
      </x:c>
      <x:c r="E73" s="36" t="str">
        <x:v>Hoàn tất và đồng bộ Refunded</x:v>
      </x:c>
      <x:c r="F73" s="58" t="str">
        <x:v>X</x:v>
      </x:c>
      <x:c r="G73" s="58" t="str">
        <x:v>X</x:v>
      </x:c>
      <x:c r="H73" s="58" t="str">
        <x:v>X</x:v>
      </x:c>
      <x:c r="I73" s="58" t="str">
        <x:v>X</x:v>
      </x:c>
      <x:c r="J73" s="58" t="str">
        <x:v>X</x:v>
      </x:c>
      <x:c r="K73" s="58" t="str">
        <x:v>X</x:v>
      </x:c>
      <x:c r="L73" s="58" t="str">
        <x:v>X</x:v>
      </x:c>
      <x:c r="M73" s="58" t="str">
        <x:v>O</x:v>
      </x:c>
      <x:c r="N73" s="36" t="str">
        <x:v>Tác vụ máy-máy bằng idempotency key; lỗi giữ trạng thái Approved để retry, không hiển thị nút Completed cho CSKH.</x:v>
      </x:c>
      <x:c r="O73" s="58" t="n">
        <x:f>COUNTIF(F73:M73,"O")+COUNTIF(F73:M73,"O*")</x:f>
        <x:v>1</x:v>
      </x:c>
      <x:c r="P73" s="58" t="str">
        <x:f>IF(O73=0,"MỒ CÔI","Đã phủ")</x:f>
        <x:v>Đã phủ</x:v>
      </x:c>
    </x:row>
    <x:row r="74" ht="40" customHeight="1">
      <x:c r="A74" s="36" t="n">
        <x:v>70</x:v>
      </x:c>
      <x:c r="B74" s="36" t="str">
        <x:v>REF-WF-11</x:v>
      </x:c>
      <x:c r="C74" s="36" t="str">
        <x:v>Refund Request</x:v>
      </x:c>
      <x:c r="D74" s="36" t="str">
        <x:v>Thông báo</x:v>
      </x:c>
      <x:c r="E74" s="36" t="str">
        <x:v>Thông báo kết quả hoàn tiền</x:v>
      </x:c>
      <x:c r="F74" s="58" t="str">
        <x:v>X</x:v>
      </x:c>
      <x:c r="G74" s="58" t="str">
        <x:v>X</x:v>
      </x:c>
      <x:c r="H74" s="58" t="str">
        <x:v>X</x:v>
      </x:c>
      <x:c r="I74" s="58" t="str">
        <x:v>X</x:v>
      </x:c>
      <x:c r="J74" s="58" t="str">
        <x:v>X</x:v>
      </x:c>
      <x:c r="K74" s="58" t="str">
        <x:v>X</x:v>
      </x:c>
      <x:c r="L74" s="58" t="str">
        <x:v>X</x:v>
      </x:c>
      <x:c r="M74" s="58" t="str">
        <x:v>O</x:v>
      </x:c>
      <x:c r="N74" s="36" t="str">
        <x:v>Refund Request / Thông báo: quyền được gán theo actor, hàng đợi công việc và trạng thái hiện tại.</x:v>
      </x:c>
      <x:c r="O74" s="58" t="n">
        <x:f>COUNTIF(F74:M74,"O")+COUNTIF(F74:M74,"O*")</x:f>
        <x:v>1</x:v>
      </x:c>
      <x:c r="P74" s="58" t="str">
        <x:f>IF(O74=0,"MỒ CÔI","Đã phủ")</x:f>
        <x:v>Đã phủ</x:v>
      </x:c>
    </x:row>
    <x:row r="75" ht="40" customHeight="1">
      <x:c r="A75" s="36" t="n">
        <x:v>71</x:v>
      </x:c>
      <x:c r="B75" s="36" t="str">
        <x:v>ACC-BAS-06</x:v>
      </x:c>
      <x:c r="C75" s="36" t="str">
        <x:v>Người dùng</x:v>
      </x:c>
      <x:c r="D75" s="36" t="str">
        <x:v>Tài khoản</x:v>
      </x:c>
      <x:c r="E75" s="36" t="str">
        <x:v>Đổi mật khẩu</x:v>
      </x:c>
      <x:c r="F75" s="58" t="str">
        <x:v>X</x:v>
      </x:c>
      <x:c r="G75" s="58" t="str">
        <x:v>O*</x:v>
      </x:c>
      <x:c r="H75" s="58" t="str">
        <x:v>O*</x:v>
      </x:c>
      <x:c r="I75" s="58" t="str">
        <x:v>O*</x:v>
      </x:c>
      <x:c r="J75" s="58" t="str">
        <x:v>O*</x:v>
      </x:c>
      <x:c r="K75" s="58" t="str">
        <x:v>O*</x:v>
      </x:c>
      <x:c r="L75" s="58" t="str">
        <x:v>X</x:v>
      </x:c>
      <x:c r="M75" s="58" t="str">
        <x:v>X</x:v>
      </x:c>
      <x:c r="N75" s="36" t="str">
        <x:v>Người dùng xác thực chỉ được xem/thao tác bản ghi có user_id của chính mình hoặc được gán; API bắt buộc kiểm tra ownership.</x:v>
      </x:c>
      <x:c r="O75" s="58" t="n">
        <x:f>COUNTIF(F75:M75,"O")+COUNTIF(F75:M75,"O*")</x:f>
        <x:v>5</x:v>
      </x:c>
      <x:c r="P75" s="58" t="str">
        <x:f>IF(O75=0,"MỒ CÔI","Đã phủ")</x:f>
        <x:v>Đã phủ</x:v>
      </x:c>
    </x:row>
    <x:row r="76" ht="40" customHeight="1">
      <x:c r="A76" s="36" t="n">
        <x:v>72</x:v>
      </x:c>
      <x:c r="B76" s="36" t="str">
        <x:v>ACC-BAS-07</x:v>
      </x:c>
      <x:c r="C76" s="36" t="str">
        <x:v>Người dùng</x:v>
      </x:c>
      <x:c r="D76" s="36" t="str">
        <x:v>Tài khoản</x:v>
      </x:c>
      <x:c r="E76" s="36" t="str">
        <x:v>Yêu cầu quên mật khẩu</x:v>
      </x:c>
      <x:c r="F76" s="58" t="str">
        <x:v>O</x:v>
      </x:c>
      <x:c r="G76" s="58" t="str">
        <x:v>X</x:v>
      </x:c>
      <x:c r="H76" s="58" t="str">
        <x:v>X</x:v>
      </x:c>
      <x:c r="I76" s="58" t="str">
        <x:v>X</x:v>
      </x:c>
      <x:c r="J76" s="58" t="str">
        <x:v>X</x:v>
      </x:c>
      <x:c r="K76" s="58" t="str">
        <x:v>X</x:v>
      </x:c>
      <x:c r="L76" s="58" t="str">
        <x:v>X</x:v>
      </x:c>
      <x:c r="M76" s="58" t="str">
        <x:v>X</x:v>
      </x:c>
      <x:c r="N76" s="36" t="str">
        <x:v>Tài nguyên công khai, chỉ trả dữ liệu active/published; không lộ dữ liệu quản trị.</x:v>
      </x:c>
      <x:c r="O76" s="58" t="n">
        <x:f>COUNTIF(F76:M76,"O")+COUNTIF(F76:M76,"O*")</x:f>
        <x:v>1</x:v>
      </x:c>
      <x:c r="P76" s="58" t="str">
        <x:f>IF(O76=0,"MỒ CÔI","Đã phủ")</x:f>
        <x:v>Đã phủ</x:v>
      </x:c>
    </x:row>
    <x:row r="77" ht="40" customHeight="1">
      <x:c r="A77" s="36" t="n">
        <x:v>73</x:v>
      </x:c>
      <x:c r="B77" s="36" t="str">
        <x:v>ACC-BAS-08</x:v>
      </x:c>
      <x:c r="C77" s="36" t="str">
        <x:v>Người dùng</x:v>
      </x:c>
      <x:c r="D77" s="36" t="str">
        <x:v>Tài khoản</x:v>
      </x:c>
      <x:c r="E77" s="36" t="str">
        <x:v>Đặt lại mật khẩu</x:v>
      </x:c>
      <x:c r="F77" s="58" t="str">
        <x:v>O</x:v>
      </x:c>
      <x:c r="G77" s="58" t="str">
        <x:v>X</x:v>
      </x:c>
      <x:c r="H77" s="58" t="str">
        <x:v>X</x:v>
      </x:c>
      <x:c r="I77" s="58" t="str">
        <x:v>X</x:v>
      </x:c>
      <x:c r="J77" s="58" t="str">
        <x:v>X</x:v>
      </x:c>
      <x:c r="K77" s="58" t="str">
        <x:v>X</x:v>
      </x:c>
      <x:c r="L77" s="58" t="str">
        <x:v>X</x:v>
      </x:c>
      <x:c r="M77" s="58" t="str">
        <x:v>X</x:v>
      </x:c>
      <x:c r="N77" s="36" t="str">
        <x:v>Tài nguyên công khai, chỉ trả dữ liệu active/published; không lộ dữ liệu quản trị.</x:v>
      </x:c>
      <x:c r="O77" s="58" t="n">
        <x:f>COUNTIF(F77:M77,"O")+COUNTIF(F77:M77,"O*")</x:f>
        <x:v>1</x:v>
      </x:c>
      <x:c r="P77" s="58" t="str">
        <x:f>IF(O77=0,"MỒ CÔI","Đã phủ")</x:f>
        <x:v>Đã phủ</x:v>
      </x:c>
    </x:row>
    <x:row r="78" ht="40" customHeight="1">
      <x:c r="A78" s="36" t="n">
        <x:v>74</x:v>
      </x:c>
      <x:c r="B78" s="36" t="str">
        <x:v>ACC-BAS-09</x:v>
      </x:c>
      <x:c r="C78" s="36" t="str">
        <x:v>Người dùng</x:v>
      </x:c>
      <x:c r="D78" s="36" t="str">
        <x:v>Tài khoản</x:v>
      </x:c>
      <x:c r="E78" s="36" t="str">
        <x:v>Xác minh email</x:v>
      </x:c>
      <x:c r="F78" s="58" t="str">
        <x:v>X</x:v>
      </x:c>
      <x:c r="G78" s="58" t="str">
        <x:v>O*</x:v>
      </x:c>
      <x:c r="H78" s="58" t="str">
        <x:v>X</x:v>
      </x:c>
      <x:c r="I78" s="58" t="str">
        <x:v>X</x:v>
      </x:c>
      <x:c r="J78" s="58" t="str">
        <x:v>X</x:v>
      </x:c>
      <x:c r="K78" s="58" t="str">
        <x:v>O</x:v>
      </x:c>
      <x:c r="L78" s="58" t="str">
        <x:v>X</x:v>
      </x:c>
      <x:c r="M78" s="58" t="str">
        <x:v>X</x:v>
      </x:c>
      <x:c r="N78" s="36" t="str">
        <x:v>Người dùng xác thực chỉ được xem/thao tác bản ghi có user_id của chính mình hoặc được gán; API bắt buộc kiểm tra ownership.</x:v>
      </x:c>
      <x:c r="O78" s="58" t="n">
        <x:f>COUNTIF(F78:M78,"O")+COUNTIF(F78:M78,"O*")</x:f>
        <x:v>2</x:v>
      </x:c>
      <x:c r="P78" s="58" t="str">
        <x:f>IF(O78=0,"MỒ CÔI","Đã phủ")</x:f>
        <x:v>Đã phủ</x:v>
      </x:c>
    </x:row>
    <x:row r="79" ht="40" customHeight="1">
      <x:c r="A79" s="36" t="n">
        <x:v>75</x:v>
      </x:c>
      <x:c r="B79" s="36" t="str">
        <x:v>ACC-ADV-01</x:v>
      </x:c>
      <x:c r="C79" s="36" t="str">
        <x:v>Phiên đăng nhập</x:v>
      </x:c>
      <x:c r="D79" s="36" t="str">
        <x:v>Bảo mật</x:v>
      </x:c>
      <x:c r="E79" s="36" t="str">
        <x:v>Quản lý phiên và đăng xuất mọi thiết bị</x:v>
      </x:c>
      <x:c r="F79" s="58" t="str">
        <x:v>X</x:v>
      </x:c>
      <x:c r="G79" s="58" t="str">
        <x:v>O*</x:v>
      </x:c>
      <x:c r="H79" s="58" t="str">
        <x:v>O*</x:v>
      </x:c>
      <x:c r="I79" s="58" t="str">
        <x:v>O*</x:v>
      </x:c>
      <x:c r="J79" s="58" t="str">
        <x:v>O*</x:v>
      </x:c>
      <x:c r="K79" s="58" t="str">
        <x:v>O*</x:v>
      </x:c>
      <x:c r="L79" s="58" t="str">
        <x:v>X</x:v>
      </x:c>
      <x:c r="M79" s="58" t="str">
        <x:v>X</x:v>
      </x:c>
      <x:c r="N79" s="36" t="str">
        <x:v>Người dùng xác thực chỉ được xem/thao tác bản ghi có user_id của chính mình hoặc được gán; API bắt buộc kiểm tra ownership.</x:v>
      </x:c>
      <x:c r="O79" s="58" t="n">
        <x:f>COUNTIF(F79:M79,"O")+COUNTIF(F79:M79,"O*")</x:f>
        <x:v>5</x:v>
      </x:c>
      <x:c r="P79" s="58" t="str">
        <x:f>IF(O79=0,"MỒ CÔI","Đã phủ")</x:f>
        <x:v>Đã phủ</x:v>
      </x:c>
    </x:row>
    <x:row r="80" ht="40" customHeight="1">
      <x:c r="A80" s="36" t="n">
        <x:v>76</x:v>
      </x:c>
      <x:c r="B80" s="36" t="str">
        <x:v>NOT-BAS-01</x:v>
      </x:c>
      <x:c r="C80" s="36" t="str">
        <x:v>Thông báo</x:v>
      </x:c>
      <x:c r="D80" s="36" t="str">
        <x:v>Thông báo</x:v>
      </x:c>
      <x:c r="E80" s="36" t="str">
        <x:v>Xem danh sách thông báo</x:v>
      </x:c>
      <x:c r="F80" s="58" t="str">
        <x:v>X</x:v>
      </x:c>
      <x:c r="G80" s="58" t="str">
        <x:v>O*</x:v>
      </x:c>
      <x:c r="H80" s="58" t="str">
        <x:v>O*</x:v>
      </x:c>
      <x:c r="I80" s="58" t="str">
        <x:v>O*</x:v>
      </x:c>
      <x:c r="J80" s="58" t="str">
        <x:v>O*</x:v>
      </x:c>
      <x:c r="K80" s="58" t="str">
        <x:v>O*</x:v>
      </x:c>
      <x:c r="L80" s="58" t="str">
        <x:v>X</x:v>
      </x:c>
      <x:c r="M80" s="58" t="str">
        <x:v>X</x:v>
      </x:c>
      <x:c r="N80" s="36" t="str">
        <x:v>Người dùng xác thực chỉ được xem/thao tác bản ghi có user_id của chính mình hoặc được gán; API bắt buộc kiểm tra ownership.</x:v>
      </x:c>
      <x:c r="O80" s="58" t="n">
        <x:f>COUNTIF(F80:M80,"O")+COUNTIF(F80:M80,"O*")</x:f>
        <x:v>5</x:v>
      </x:c>
      <x:c r="P80" s="58" t="str">
        <x:f>IF(O80=0,"MỒ CÔI","Đã phủ")</x:f>
        <x:v>Đã phủ</x:v>
      </x:c>
    </x:row>
    <x:row r="81" ht="40" customHeight="1">
      <x:c r="A81" s="36" t="n">
        <x:v>77</x:v>
      </x:c>
      <x:c r="B81" s="36" t="str">
        <x:v>NOT-BAS-02</x:v>
      </x:c>
      <x:c r="C81" s="36" t="str">
        <x:v>Thông báo</x:v>
      </x:c>
      <x:c r="D81" s="36" t="str">
        <x:v>Thông báo</x:v>
      </x:c>
      <x:c r="E81" s="36" t="str">
        <x:v>Xem chi tiết và đánh dấu đã đọc</x:v>
      </x:c>
      <x:c r="F81" s="58" t="str">
        <x:v>X</x:v>
      </x:c>
      <x:c r="G81" s="58" t="str">
        <x:v>O*</x:v>
      </x:c>
      <x:c r="H81" s="58" t="str">
        <x:v>O*</x:v>
      </x:c>
      <x:c r="I81" s="58" t="str">
        <x:v>O*</x:v>
      </x:c>
      <x:c r="J81" s="58" t="str">
        <x:v>O*</x:v>
      </x:c>
      <x:c r="K81" s="58" t="str">
        <x:v>O*</x:v>
      </x:c>
      <x:c r="L81" s="58" t="str">
        <x:v>X</x:v>
      </x:c>
      <x:c r="M81" s="58" t="str">
        <x:v>X</x:v>
      </x:c>
      <x:c r="N81" s="36" t="str">
        <x:v>Người dùng xác thực chỉ được xem/thao tác bản ghi có user_id của chính mình hoặc được gán; API bắt buộc kiểm tra ownership.</x:v>
      </x:c>
      <x:c r="O81" s="58" t="n">
        <x:f>COUNTIF(F81:M81,"O")+COUNTIF(F81:M81,"O*")</x:f>
        <x:v>5</x:v>
      </x:c>
      <x:c r="P81" s="58" t="str">
        <x:f>IF(O81=0,"MỒ CÔI","Đã phủ")</x:f>
        <x:v>Đã phủ</x:v>
      </x:c>
    </x:row>
    <x:row r="82" ht="40" customHeight="1">
      <x:c r="A82" s="36" t="n">
        <x:v>78</x:v>
      </x:c>
      <x:c r="B82" s="36" t="str">
        <x:v>NOT-BAS-03</x:v>
      </x:c>
      <x:c r="C82" s="36" t="str">
        <x:v>Thông báo</x:v>
      </x:c>
      <x:c r="D82" s="36" t="str">
        <x:v>Thông báo</x:v>
      </x:c>
      <x:c r="E82" s="36" t="str">
        <x:v>Cấu hình kênh nhận thông báo</x:v>
      </x:c>
      <x:c r="F82" s="58" t="str">
        <x:v>X</x:v>
      </x:c>
      <x:c r="G82" s="58" t="str">
        <x:v>O*</x:v>
      </x:c>
      <x:c r="H82" s="58" t="str">
        <x:v>O*</x:v>
      </x:c>
      <x:c r="I82" s="58" t="str">
        <x:v>O*</x:v>
      </x:c>
      <x:c r="J82" s="58" t="str">
        <x:v>O*</x:v>
      </x:c>
      <x:c r="K82" s="58" t="str">
        <x:v>O*</x:v>
      </x:c>
      <x:c r="L82" s="58" t="str">
        <x:v>X</x:v>
      </x:c>
      <x:c r="M82" s="58" t="str">
        <x:v>X</x:v>
      </x:c>
      <x:c r="N82" s="36" t="str">
        <x:v>Người dùng xác thực chỉ được xem/thao tác bản ghi có user_id của chính mình hoặc được gán; API bắt buộc kiểm tra ownership.</x:v>
      </x:c>
      <x:c r="O82" s="58" t="n">
        <x:f>COUNTIF(F82:M82,"O")+COUNTIF(F82:M82,"O*")</x:f>
        <x:v>5</x:v>
      </x:c>
      <x:c r="P82" s="58" t="str">
        <x:f>IF(O82=0,"MỒ CÔI","Đã phủ")</x:f>
        <x:v>Đã phủ</x:v>
      </x:c>
    </x:row>
    <x:row r="83" ht="40" customHeight="1">
      <x:c r="A83" s="36" t="n">
        <x:v>79</x:v>
      </x:c>
      <x:c r="B83" s="36" t="str">
        <x:v>NOT-OTH-01</x:v>
      </x:c>
      <x:c r="C83" s="36" t="str">
        <x:v>Đơn hàng</x:v>
      </x:c>
      <x:c r="D83" s="36" t="str">
        <x:v>Thông báo</x:v>
      </x:c>
      <x:c r="E83" s="36" t="str">
        <x:v>Gửi email xác nhận đơn hàng</x:v>
      </x:c>
      <x:c r="F83" s="58" t="str">
        <x:v>X</x:v>
      </x:c>
      <x:c r="G83" s="58" t="str">
        <x:v>X</x:v>
      </x:c>
      <x:c r="H83" s="58" t="str">
        <x:v>X</x:v>
      </x:c>
      <x:c r="I83" s="58" t="str">
        <x:v>X</x:v>
      </x:c>
      <x:c r="J83" s="58" t="str">
        <x:v>X</x:v>
      </x:c>
      <x:c r="K83" s="58" t="str">
        <x:v>X</x:v>
      </x:c>
      <x:c r="L83" s="58" t="str">
        <x:v>X</x:v>
      </x:c>
      <x:c r="M83" s="58" t="str">
        <x:v>O</x:v>
      </x:c>
      <x:c r="N83" s="36" t="str">
        <x:v>Đơn hàng / Thông báo: quyền được gán theo actor, hàng đợi công việc và trạng thái hiện tại.</x:v>
      </x:c>
      <x:c r="O83" s="58" t="n">
        <x:f>COUNTIF(F83:M83,"O")+COUNTIF(F83:M83,"O*")</x:f>
        <x:v>1</x:v>
      </x:c>
      <x:c r="P83" s="58" t="str">
        <x:f>IF(O83=0,"MỒ CÔI","Đã phủ")</x:f>
        <x:v>Đã phủ</x:v>
      </x:c>
    </x:row>
    <x:row r="84" ht="40" customHeight="1">
      <x:c r="A84" s="36" t="n">
        <x:v>80</x:v>
      </x:c>
      <x:c r="B84" s="36" t="str">
        <x:v>NOT-OTH-02</x:v>
      </x:c>
      <x:c r="C84" s="36" t="str">
        <x:v>Đơn hàng</x:v>
      </x:c>
      <x:c r="D84" s="36" t="str">
        <x:v>Thông báo</x:v>
      </x:c>
      <x:c r="E84" s="36" t="str">
        <x:v>Gửi SMS/thông báo trạng thái đơn</x:v>
      </x:c>
      <x:c r="F84" s="58" t="str">
        <x:v>X</x:v>
      </x:c>
      <x:c r="G84" s="58" t="str">
        <x:v>X</x:v>
      </x:c>
      <x:c r="H84" s="58" t="str">
        <x:v>X</x:v>
      </x:c>
      <x:c r="I84" s="58" t="str">
        <x:v>X</x:v>
      </x:c>
      <x:c r="J84" s="58" t="str">
        <x:v>X</x:v>
      </x:c>
      <x:c r="K84" s="58" t="str">
        <x:v>X</x:v>
      </x:c>
      <x:c r="L84" s="58" t="str">
        <x:v>X</x:v>
      </x:c>
      <x:c r="M84" s="58" t="str">
        <x:v>O</x:v>
      </x:c>
      <x:c r="N84" s="36" t="str">
        <x:v>Đơn hàng / Thông báo: quyền được gán theo actor, hàng đợi công việc và trạng thái hiện tại.</x:v>
      </x:c>
      <x:c r="O84" s="58" t="n">
        <x:f>COUNTIF(F84:M84,"O")+COUNTIF(F84:M84,"O*")</x:f>
        <x:v>1</x:v>
      </x:c>
      <x:c r="P84" s="58" t="str">
        <x:f>IF(O84=0,"MỒ CÔI","Đã phủ")</x:f>
        <x:v>Đã phủ</x:v>
      </x:c>
    </x:row>
    <x:row r="85" ht="40" customHeight="1">
      <x:c r="A85" s="36" t="n">
        <x:v>81</x:v>
      </x:c>
      <x:c r="B85" s="36" t="str">
        <x:v>NOT-OTH-03</x:v>
      </x:c>
      <x:c r="C85" s="36" t="str">
        <x:v>Sản phẩm/Đơn hàng</x:v>
      </x:c>
      <x:c r="D85" s="36" t="str">
        <x:v>Nhắc việc</x:v>
      </x:c>
      <x:c r="E85" s="36" t="str">
        <x:v>Nhắc tồn kho thấp và đơn quá hạn</x:v>
      </x:c>
      <x:c r="F85" s="58" t="str">
        <x:v>X</x:v>
      </x:c>
      <x:c r="G85" s="58" t="str">
        <x:v>X</x:v>
      </x:c>
      <x:c r="H85" s="58" t="str">
        <x:v>X</x:v>
      </x:c>
      <x:c r="I85" s="58" t="str">
        <x:v>O</x:v>
      </x:c>
      <x:c r="J85" s="58" t="str">
        <x:v>X</x:v>
      </x:c>
      <x:c r="K85" s="58" t="str">
        <x:v>O</x:v>
      </x:c>
      <x:c r="L85" s="58" t="str">
        <x:v>X</x:v>
      </x:c>
      <x:c r="M85" s="58" t="str">
        <x:v>O</x:v>
      </x:c>
      <x:c r="N85" s="36" t="str">
        <x:v>Sản phẩm/Đơn hàng / Nhắc việc: quyền được gán theo actor, hàng đợi công việc và trạng thái hiện tại.</x:v>
      </x:c>
      <x:c r="O85" s="58" t="n">
        <x:f>COUNTIF(F85:M85,"O")+COUNTIF(F85:M85,"O*")</x:f>
        <x:v>3</x:v>
      </x:c>
      <x:c r="P85" s="58" t="str">
        <x:f>IF(O85=0,"MỒ CÔI","Đã phủ")</x:f>
        <x:v>Đã phủ</x:v>
      </x:c>
    </x:row>
    <x:row r="86" ht="40" customHeight="1">
      <x:c r="A86" s="36" t="n">
        <x:v>82</x:v>
      </x:c>
      <x:c r="B86" s="36" t="str">
        <x:v>RPT-OTH-01</x:v>
      </x:c>
      <x:c r="C86" s="36" t="str">
        <x:v>Đơn hàng</x:v>
      </x:c>
      <x:c r="D86" s="36" t="str">
        <x:v>Báo cáo</x:v>
      </x:c>
      <x:c r="E86" s="36" t="str">
        <x:v>Xuất báo cáo đơn hàng Excel/CSV</x:v>
      </x:c>
      <x:c r="F86" s="58" t="str">
        <x:v>X</x:v>
      </x:c>
      <x:c r="G86" s="58" t="str">
        <x:v>X</x:v>
      </x:c>
      <x:c r="H86" s="58" t="str">
        <x:v>O</x:v>
      </x:c>
      <x:c r="I86" s="58" t="str">
        <x:v>O</x:v>
      </x:c>
      <x:c r="J86" s="58" t="str">
        <x:v>X</x:v>
      </x:c>
      <x:c r="K86" s="58" t="str">
        <x:v>O</x:v>
      </x:c>
      <x:c r="L86" s="58" t="str">
        <x:v>X</x:v>
      </x:c>
      <x:c r="M86" s="58" t="str">
        <x:v>X</x:v>
      </x:c>
      <x:c r="N86" s="36" t="str">
        <x:v>Đơn hàng / Báo cáo: quyền được gán theo actor, hàng đợi công việc và trạng thái hiện tại.</x:v>
      </x:c>
      <x:c r="O86" s="58" t="n">
        <x:f>COUNTIF(F86:M86,"O")+COUNTIF(F86:M86,"O*")</x:f>
        <x:v>3</x:v>
      </x:c>
      <x:c r="P86" s="58" t="str">
        <x:f>IF(O86=0,"MỒ CÔI","Đã phủ")</x:f>
        <x:v>Đã phủ</x:v>
      </x:c>
    </x:row>
    <x:row r="87" ht="40" customHeight="1">
      <x:c r="A87" s="36" t="n">
        <x:v>83</x:v>
      </x:c>
      <x:c r="B87" s="36" t="str">
        <x:v>RPT-OTH-02</x:v>
      </x:c>
      <x:c r="C87" s="36" t="str">
        <x:v>Doanh thu</x:v>
      </x:c>
      <x:c r="D87" s="36" t="str">
        <x:v>Báo cáo</x:v>
      </x:c>
      <x:c r="E87" s="36" t="str">
        <x:v>Xuất báo cáo doanh thu PDF</x:v>
      </x:c>
      <x:c r="F87" s="58" t="str">
        <x:v>X</x:v>
      </x:c>
      <x:c r="G87" s="58" t="str">
        <x:v>X</x:v>
      </x:c>
      <x:c r="H87" s="58" t="str">
        <x:v>O</x:v>
      </x:c>
      <x:c r="I87" s="58" t="str">
        <x:v>O</x:v>
      </x:c>
      <x:c r="J87" s="58" t="str">
        <x:v>X</x:v>
      </x:c>
      <x:c r="K87" s="58" t="str">
        <x:v>O</x:v>
      </x:c>
      <x:c r="L87" s="58" t="str">
        <x:v>X</x:v>
      </x:c>
      <x:c r="M87" s="58" t="str">
        <x:v>X</x:v>
      </x:c>
      <x:c r="N87" s="36" t="str">
        <x:v>Doanh thu / Báo cáo: quyền được gán theo actor, hàng đợi công việc và trạng thái hiện tại.</x:v>
      </x:c>
      <x:c r="O87" s="58" t="n">
        <x:f>COUNTIF(F87:M87,"O")+COUNTIF(F87:M87,"O*")</x:f>
        <x:v>3</x:v>
      </x:c>
      <x:c r="P87" s="58" t="str">
        <x:f>IF(O87=0,"MỒ CÔI","Đã phủ")</x:f>
        <x:v>Đã phủ</x:v>
      </x:c>
    </x:row>
    <x:row r="88" ht="40" customHeight="1">
      <x:c r="A88" s="36" t="n">
        <x:v>84</x:v>
      </x:c>
      <x:c r="B88" s="36" t="str">
        <x:v>RPT-OTH-03</x:v>
      </x:c>
      <x:c r="C88" s="36" t="str">
        <x:v>Đơn hàng</x:v>
      </x:c>
      <x:c r="D88" s="36" t="str">
        <x:v>In ấn</x:v>
      </x:c>
      <x:c r="E88" s="36" t="str">
        <x:v>In phiếu đơn và phiếu đóng gói</x:v>
      </x:c>
      <x:c r="F88" s="58" t="str">
        <x:v>X</x:v>
      </x:c>
      <x:c r="G88" s="58" t="str">
        <x:v>X</x:v>
      </x:c>
      <x:c r="H88" s="58" t="str">
        <x:v>O</x:v>
      </x:c>
      <x:c r="I88" s="58" t="str">
        <x:v>O</x:v>
      </x:c>
      <x:c r="J88" s="58" t="str">
        <x:v>X</x:v>
      </x:c>
      <x:c r="K88" s="58" t="str">
        <x:v>O</x:v>
      </x:c>
      <x:c r="L88" s="58" t="str">
        <x:v>X</x:v>
      </x:c>
      <x:c r="M88" s="58" t="str">
        <x:v>X</x:v>
      </x:c>
      <x:c r="N88" s="36" t="str">
        <x:v>Đơn hàng / In ấn: quyền được gán theo actor, hàng đợi công việc và trạng thái hiện tại.</x:v>
      </x:c>
      <x:c r="O88" s="58" t="n">
        <x:f>COUNTIF(F88:M88,"O")+COUNTIF(F88:M88,"O*")</x:f>
        <x:v>3</x:v>
      </x:c>
      <x:c r="P88" s="58" t="str">
        <x:f>IF(O88=0,"MỒ CÔI","Đã phủ")</x:f>
        <x:v>Đã phủ</x:v>
      </x:c>
    </x:row>
    <x:row r="89" ht="40" customHeight="1">
      <x:c r="A89" s="36" t="n">
        <x:v>85</x:v>
      </x:c>
      <x:c r="B89" s="36" t="str">
        <x:v>RPT-ADV-01</x:v>
      </x:c>
      <x:c r="C89" s="36" t="str">
        <x:v>Doanh thu</x:v>
      </x:c>
      <x:c r="D89" s="36" t="str">
        <x:v>Báo cáo</x:v>
      </x:c>
      <x:c r="E89" s="36" t="str">
        <x:v>Báo cáo doanh thu động theo thời gian</x:v>
      </x:c>
      <x:c r="F89" s="58" t="str">
        <x:v>X</x:v>
      </x:c>
      <x:c r="G89" s="58" t="str">
        <x:v>X</x:v>
      </x:c>
      <x:c r="H89" s="58" t="str">
        <x:v>O</x:v>
      </x:c>
      <x:c r="I89" s="58" t="str">
        <x:v>O</x:v>
      </x:c>
      <x:c r="J89" s="58" t="str">
        <x:v>X</x:v>
      </x:c>
      <x:c r="K89" s="58" t="str">
        <x:v>O</x:v>
      </x:c>
      <x:c r="L89" s="58" t="str">
        <x:v>X</x:v>
      </x:c>
      <x:c r="M89" s="58" t="str">
        <x:v>X</x:v>
      </x:c>
      <x:c r="N89" s="36" t="str">
        <x:v>Doanh thu / Báo cáo: quyền được gán theo actor, hàng đợi công việc và trạng thái hiện tại.</x:v>
      </x:c>
      <x:c r="O89" s="58" t="n">
        <x:f>COUNTIF(F89:M89,"O")+COUNTIF(F89:M89,"O*")</x:f>
        <x:v>3</x:v>
      </x:c>
      <x:c r="P89" s="58" t="str">
        <x:f>IF(O89=0,"MỒ CÔI","Đã phủ")</x:f>
        <x:v>Đã phủ</x:v>
      </x:c>
    </x:row>
    <x:row r="90" ht="40" customHeight="1">
      <x:c r="A90" s="36" t="n">
        <x:v>86</x:v>
      </x:c>
      <x:c r="B90" s="36" t="str">
        <x:v>RPT-ADV-02</x:v>
      </x:c>
      <x:c r="C90" s="36" t="str">
        <x:v>Sản phẩm/Kho</x:v>
      </x:c>
      <x:c r="D90" s="36" t="str">
        <x:v>Báo cáo</x:v>
      </x:c>
      <x:c r="E90" s="36" t="str">
        <x:v>Báo cáo tồn kho và sản phẩm bán chạy</x:v>
      </x:c>
      <x:c r="F90" s="58" t="str">
        <x:v>X</x:v>
      </x:c>
      <x:c r="G90" s="58" t="str">
        <x:v>X</x:v>
      </x:c>
      <x:c r="H90" s="58" t="str">
        <x:v>O</x:v>
      </x:c>
      <x:c r="I90" s="58" t="str">
        <x:v>O</x:v>
      </x:c>
      <x:c r="J90" s="58" t="str">
        <x:v>X</x:v>
      </x:c>
      <x:c r="K90" s="58" t="str">
        <x:v>O</x:v>
      </x:c>
      <x:c r="L90" s="58" t="str">
        <x:v>X</x:v>
      </x:c>
      <x:c r="M90" s="58" t="str">
        <x:v>X</x:v>
      </x:c>
      <x:c r="N90" s="36" t="str">
        <x:v>Sản phẩm/Kho / Báo cáo: quyền được gán theo actor, hàng đợi công việc và trạng thái hiện tại.</x:v>
      </x:c>
      <x:c r="O90" s="58" t="n">
        <x:f>COUNTIF(F90:M90,"O")+COUNTIF(F90:M90,"O*")</x:f>
        <x:v>3</x:v>
      </x:c>
      <x:c r="P90" s="58" t="str">
        <x:f>IF(O90=0,"MỒ CÔI","Đã phủ")</x:f>
        <x:v>Đã phủ</x:v>
      </x:c>
    </x:row>
    <x:row r="91" ht="40" customHeight="1">
      <x:c r="A91" s="36" t="n">
        <x:v>87</x:v>
      </x:c>
      <x:c r="B91" s="36" t="str">
        <x:v>DASH-ADV-01</x:v>
      </x:c>
      <x:c r="C91" s="36" t="str">
        <x:v>Hệ thống</x:v>
      </x:c>
      <x:c r="D91" s="36" t="str">
        <x:v>Trang chủ</x:v>
      </x:c>
      <x:c r="E91" s="36" t="str">
        <x:v>Dashboard tùy chỉnh theo vai trò</x:v>
      </x:c>
      <x:c r="F91" s="58" t="str">
        <x:v>X</x:v>
      </x:c>
      <x:c r="G91" s="58" t="str">
        <x:v>X</x:v>
      </x:c>
      <x:c r="H91" s="58" t="str">
        <x:v>O</x:v>
      </x:c>
      <x:c r="I91" s="58" t="str">
        <x:v>O</x:v>
      </x:c>
      <x:c r="J91" s="58" t="str">
        <x:v>O</x:v>
      </x:c>
      <x:c r="K91" s="58" t="str">
        <x:v>O</x:v>
      </x:c>
      <x:c r="L91" s="58" t="str">
        <x:v>X</x:v>
      </x:c>
      <x:c r="M91" s="58" t="str">
        <x:v>X</x:v>
      </x:c>
      <x:c r="N91" s="36" t="str">
        <x:v>Hệ thống / Trang chủ: quyền được gán theo actor, hàng đợi công việc và trạng thái hiện tại.</x:v>
      </x:c>
      <x:c r="O91" s="58" t="n">
        <x:f>COUNTIF(F91:M91,"O")+COUNTIF(F91:M91,"O*")</x:f>
        <x:v>4</x:v>
      </x:c>
      <x:c r="P91" s="58" t="str">
        <x:f>IF(O91=0,"MỒ CÔI","Đã phủ")</x:f>
        <x:v>Đã phủ</x:v>
      </x:c>
    </x:row>
    <x:row r="92" ht="40" customHeight="1">
      <x:c r="A92" s="36" t="n">
        <x:v>88</x:v>
      </x:c>
      <x:c r="B92" s="36" t="str">
        <x:v>DAT-OTH-01</x:v>
      </x:c>
      <x:c r="C92" s="36" t="str">
        <x:v>Sản phẩm</x:v>
      </x:c>
      <x:c r="D92" s="36" t="str">
        <x:v>Dữ liệu</x:v>
      </x:c>
      <x:c r="E92" s="36" t="str">
        <x:v>Nhập sản phẩm từ CSV</x:v>
      </x:c>
      <x:c r="F92" s="58" t="str">
        <x:v>X</x:v>
      </x:c>
      <x:c r="G92" s="58" t="str">
        <x:v>X</x:v>
      </x:c>
      <x:c r="H92" s="58" t="str">
        <x:v>X</x:v>
      </x:c>
      <x:c r="I92" s="58" t="str">
        <x:v>X</x:v>
      </x:c>
      <x:c r="J92" s="58" t="str">
        <x:v>O</x:v>
      </x:c>
      <x:c r="K92" s="58" t="str">
        <x:v>O</x:v>
      </x:c>
      <x:c r="L92" s="58" t="str">
        <x:v>X</x:v>
      </x:c>
      <x:c r="M92" s="58" t="str">
        <x:v>X</x:v>
      </x:c>
      <x:c r="N92" s="36" t="str">
        <x:v>Sản phẩm / Dữ liệu: quyền được gán theo actor, hàng đợi công việc và trạng thái hiện tại.</x:v>
      </x:c>
      <x:c r="O92" s="58" t="n">
        <x:f>COUNTIF(F92:M92,"O")+COUNTIF(F92:M92,"O*")</x:f>
        <x:v>2</x:v>
      </x:c>
      <x:c r="P92" s="58" t="str">
        <x:f>IF(O92=0,"MỒ CÔI","Đã phủ")</x:f>
        <x:v>Đã phủ</x:v>
      </x:c>
    </x:row>
    <x:row r="93" ht="40" customHeight="1">
      <x:c r="A93" s="36" t="n">
        <x:v>89</x:v>
      </x:c>
      <x:c r="B93" s="36" t="str">
        <x:v>DAT-OTH-02</x:v>
      </x:c>
      <x:c r="C93" s="36" t="str">
        <x:v>Sản phẩm</x:v>
      </x:c>
      <x:c r="D93" s="36" t="str">
        <x:v>Dữ liệu</x:v>
      </x:c>
      <x:c r="E93" s="36" t="str">
        <x:v>Xuất sản phẩm ra CSV</x:v>
      </x:c>
      <x:c r="F93" s="58" t="str">
        <x:v>X</x:v>
      </x:c>
      <x:c r="G93" s="58" t="str">
        <x:v>X</x:v>
      </x:c>
      <x:c r="H93" s="58" t="str">
        <x:v>X</x:v>
      </x:c>
      <x:c r="I93" s="58" t="str">
        <x:v>X</x:v>
      </x:c>
      <x:c r="J93" s="58" t="str">
        <x:v>O</x:v>
      </x:c>
      <x:c r="K93" s="58" t="str">
        <x:v>O</x:v>
      </x:c>
      <x:c r="L93" s="58" t="str">
        <x:v>X</x:v>
      </x:c>
      <x:c r="M93" s="58" t="str">
        <x:v>X</x:v>
      </x:c>
      <x:c r="N93" s="36" t="str">
        <x:v>Sản phẩm / Dữ liệu: quyền được gán theo actor, hàng đợi công việc và trạng thái hiện tại.</x:v>
      </x:c>
      <x:c r="O93" s="58" t="n">
        <x:f>COUNTIF(F93:M93,"O")+COUNTIF(F93:M93,"O*")</x:f>
        <x:v>2</x:v>
      </x:c>
      <x:c r="P93" s="58" t="str">
        <x:f>IF(O93=0,"MỒ CÔI","Đã phủ")</x:f>
        <x:v>Đã phủ</x:v>
      </x:c>
    </x:row>
    <x:row r="94" ht="40" customHeight="1">
      <x:c r="A94" s="36" t="n">
        <x:v>90</x:v>
      </x:c>
      <x:c r="B94" s="36" t="str">
        <x:v>DAT-OTH-03</x:v>
      </x:c>
      <x:c r="C94" s="36" t="str">
        <x:v>Sản phẩm</x:v>
      </x:c>
      <x:c r="D94" s="36" t="str">
        <x:v>Dữ liệu</x:v>
      </x:c>
      <x:c r="E94" s="36" t="str">
        <x:v>Sao chép sản phẩm</x:v>
      </x:c>
      <x:c r="F94" s="58" t="str">
        <x:v>X</x:v>
      </x:c>
      <x:c r="G94" s="58" t="str">
        <x:v>X</x:v>
      </x:c>
      <x:c r="H94" s="58" t="str">
        <x:v>X</x:v>
      </x:c>
      <x:c r="I94" s="58" t="str">
        <x:v>X</x:v>
      </x:c>
      <x:c r="J94" s="58" t="str">
        <x:v>O</x:v>
      </x:c>
      <x:c r="K94" s="58" t="str">
        <x:v>O</x:v>
      </x:c>
      <x:c r="L94" s="58" t="str">
        <x:v>X</x:v>
      </x:c>
      <x:c r="M94" s="58" t="str">
        <x:v>X</x:v>
      </x:c>
      <x:c r="N94" s="36" t="str">
        <x:v>Sản phẩm / Dữ liệu: quyền được gán theo actor, hàng đợi công việc và trạng thái hiện tại.</x:v>
      </x:c>
      <x:c r="O94" s="58" t="n">
        <x:f>COUNTIF(F94:M94,"O")+COUNTIF(F94:M94,"O*")</x:f>
        <x:v>2</x:v>
      </x:c>
      <x:c r="P94" s="58" t="str">
        <x:f>IF(O94=0,"MỒ CÔI","Đã phủ")</x:f>
        <x:v>Đã phủ</x:v>
      </x:c>
    </x:row>
    <x:row r="95" ht="40" customHeight="1">
      <x:c r="A95" s="36" t="n">
        <x:v>91</x:v>
      </x:c>
      <x:c r="B95" s="36" t="str">
        <x:v>CON-BAS-02</x:v>
      </x:c>
      <x:c r="C95" s="36" t="str">
        <x:v>Bài viết</x:v>
      </x:c>
      <x:c r="D95" s="36" t="str">
        <x:v>Nội dung</x:v>
      </x:c>
      <x:c r="E95" s="36" t="str">
        <x:v>Quản trị bài viết và hướng dẫn</x:v>
      </x:c>
      <x:c r="F95" s="58" t="str">
        <x:v>X</x:v>
      </x:c>
      <x:c r="G95" s="58" t="str">
        <x:v>X</x:v>
      </x:c>
      <x:c r="H95" s="58" t="str">
        <x:v>X</x:v>
      </x:c>
      <x:c r="I95" s="58" t="str">
        <x:v>X</x:v>
      </x:c>
      <x:c r="J95" s="58" t="str">
        <x:v>O</x:v>
      </x:c>
      <x:c r="K95" s="58" t="str">
        <x:v>O</x:v>
      </x:c>
      <x:c r="L95" s="58" t="str">
        <x:v>X</x:v>
      </x:c>
      <x:c r="M95" s="58" t="str">
        <x:v>X</x:v>
      </x:c>
      <x:c r="N95" s="36" t="str">
        <x:v>Bài viết / Nội dung: quyền được gán theo actor, hàng đợi công việc và trạng thái hiện tại.</x:v>
      </x:c>
      <x:c r="O95" s="58" t="n">
        <x:f>COUNTIF(F95:M95,"O")+COUNTIF(F95:M95,"O*")</x:f>
        <x:v>2</x:v>
      </x:c>
      <x:c r="P95" s="58" t="str">
        <x:f>IF(O95=0,"MỒ CÔI","Đã phủ")</x:f>
        <x:v>Đã phủ</x:v>
      </x:c>
    </x:row>
    <x:row r="96" ht="40" customHeight="1">
      <x:c r="A96" s="36" t="n">
        <x:v>92</x:v>
      </x:c>
      <x:c r="B96" s="36" t="str">
        <x:v>CON-BAS-03</x:v>
      </x:c>
      <x:c r="C96" s="36" t="str">
        <x:v>Chính sách</x:v>
      </x:c>
      <x:c r="D96" s="36" t="str">
        <x:v>Nội dung</x:v>
      </x:c>
      <x:c r="E96" s="36" t="str">
        <x:v>Quản trị điều khoản và chính sách</x:v>
      </x:c>
      <x:c r="F96" s="58" t="str">
        <x:v>X</x:v>
      </x:c>
      <x:c r="G96" s="58" t="str">
        <x:v>X</x:v>
      </x:c>
      <x:c r="H96" s="58" t="str">
        <x:v>X</x:v>
      </x:c>
      <x:c r="I96" s="58" t="str">
        <x:v>X</x:v>
      </x:c>
      <x:c r="J96" s="58" t="str">
        <x:v>O</x:v>
      </x:c>
      <x:c r="K96" s="58" t="str">
        <x:v>O</x:v>
      </x:c>
      <x:c r="L96" s="58" t="str">
        <x:v>X</x:v>
      </x:c>
      <x:c r="M96" s="58" t="str">
        <x:v>X</x:v>
      </x:c>
      <x:c r="N96" s="36" t="str">
        <x:v>Chính sách / Nội dung: quyền được gán theo actor, hàng đợi công việc và trạng thái hiện tại.</x:v>
      </x:c>
      <x:c r="O96" s="58" t="n">
        <x:f>COUNTIF(F96:M96,"O")+COUNTIF(F96:M96,"O*")</x:f>
        <x:v>2</x:v>
      </x:c>
      <x:c r="P96" s="58" t="str">
        <x:f>IF(O96=0,"MỒ CÔI","Đã phủ")</x:f>
        <x:v>Đã phủ</x:v>
      </x:c>
    </x:row>
    <x:row r="97" ht="40" customHeight="1">
      <x:c r="A97" s="36" t="n">
        <x:v>93</x:v>
      </x:c>
      <x:c r="B97" s="36" t="str">
        <x:v>SET-BAS-01</x:v>
      </x:c>
      <x:c r="C97" s="36" t="str">
        <x:v>Cửa hàng</x:v>
      </x:c>
      <x:c r="D97" s="36" t="str">
        <x:v>Thiết lập</x:v>
      </x:c>
      <x:c r="E97" s="36" t="str">
        <x:v>Cấu hình email, địa chỉ và thông tin cửa hàng</x:v>
      </x:c>
      <x:c r="F97" s="58" t="str">
        <x:v>X</x:v>
      </x:c>
      <x:c r="G97" s="58" t="str">
        <x:v>X</x:v>
      </x:c>
      <x:c r="H97" s="58" t="str">
        <x:v>X</x:v>
      </x:c>
      <x:c r="I97" s="58" t="str">
        <x:v>X</x:v>
      </x:c>
      <x:c r="J97" s="58" t="str">
        <x:v>X</x:v>
      </x:c>
      <x:c r="K97" s="58" t="str">
        <x:v>O</x:v>
      </x:c>
      <x:c r="L97" s="58" t="str">
        <x:v>X</x:v>
      </x:c>
      <x:c r="M97" s="58" t="str">
        <x:v>X</x:v>
      </x:c>
      <x:c r="N97" s="36" t="str">
        <x:v>Chỉ Quản trị viên; áp dụng nguyên tắc tối thiểu, không tự khóa admin đang đăng nhập.</x:v>
      </x:c>
      <x:c r="O97" s="58" t="n">
        <x:f>COUNTIF(F97:M97,"O")+COUNTIF(F97:M97,"O*")</x:f>
        <x:v>1</x:v>
      </x:c>
      <x:c r="P97" s="58" t="str">
        <x:f>IF(O97=0,"MỒ CÔI","Đã phủ")</x:f>
        <x:v>Đã phủ</x:v>
      </x:c>
    </x:row>
    <x:row r="98" ht="40" customHeight="1">
      <x:c r="A98" s="36" t="n">
        <x:v>94</x:v>
      </x:c>
      <x:c r="B98" s="36" t="str">
        <x:v>SET-ADV-01</x:v>
      </x:c>
      <x:c r="C98" s="36" t="str">
        <x:v>Tích hợp</x:v>
      </x:c>
      <x:c r="D98" s="36" t="str">
        <x:v>Thiết lập</x:v>
      </x:c>
      <x:c r="E98" s="36" t="str">
        <x:v>Cấu hình thanh toán và vận chuyển</x:v>
      </x:c>
      <x:c r="F98" s="58" t="str">
        <x:v>X</x:v>
      </x:c>
      <x:c r="G98" s="58" t="str">
        <x:v>X</x:v>
      </x:c>
      <x:c r="H98" s="58" t="str">
        <x:v>X</x:v>
      </x:c>
      <x:c r="I98" s="58" t="str">
        <x:v>X</x:v>
      </x:c>
      <x:c r="J98" s="58" t="str">
        <x:v>X</x:v>
      </x:c>
      <x:c r="K98" s="58" t="str">
        <x:v>O</x:v>
      </x:c>
      <x:c r="L98" s="58" t="str">
        <x:v>X</x:v>
      </x:c>
      <x:c r="M98" s="58" t="str">
        <x:v>X</x:v>
      </x:c>
      <x:c r="N98" s="36" t="str">
        <x:v>Chỉ Quản trị viên; áp dụng nguyên tắc tối thiểu, không tự khóa admin đang đăng nhập.</x:v>
      </x:c>
      <x:c r="O98" s="58" t="n">
        <x:f>COUNTIF(F98:M98,"O")+COUNTIF(F98:M98,"O*")</x:f>
        <x:v>1</x:v>
      </x:c>
      <x:c r="P98" s="58" t="str">
        <x:f>IF(O98=0,"MỒ CÔI","Đã phủ")</x:f>
        <x:v>Đã phủ</x:v>
      </x:c>
    </x:row>
    <x:row r="99" ht="40" customHeight="1">
      <x:c r="A99" s="36" t="n">
        <x:v>95</x:v>
      </x:c>
      <x:c r="B99" s="36" t="str">
        <x:v>SET-BAS-02</x:v>
      </x:c>
      <x:c r="C99" s="36" t="str">
        <x:v>Hệ thống</x:v>
      </x:c>
      <x:c r="D99" s="36" t="str">
        <x:v>Thiết lập</x:v>
      </x:c>
      <x:c r="E99" s="36" t="str">
        <x:v>Cấu hình trợ giúp và kênh hỗ trợ</x:v>
      </x:c>
      <x:c r="F99" s="58" t="str">
        <x:v>X</x:v>
      </x:c>
      <x:c r="G99" s="58" t="str">
        <x:v>X</x:v>
      </x:c>
      <x:c r="H99" s="58" t="str">
        <x:v>X</x:v>
      </x:c>
      <x:c r="I99" s="58" t="str">
        <x:v>X</x:v>
      </x:c>
      <x:c r="J99" s="58" t="str">
        <x:v>X</x:v>
      </x:c>
      <x:c r="K99" s="58" t="str">
        <x:v>O</x:v>
      </x:c>
      <x:c r="L99" s="58" t="str">
        <x:v>X</x:v>
      </x:c>
      <x:c r="M99" s="58" t="str">
        <x:v>X</x:v>
      </x:c>
      <x:c r="N99" s="36" t="str">
        <x:v>Chỉ Quản trị viên; áp dụng nguyên tắc tối thiểu, không tự khóa admin đang đăng nhập.</x:v>
      </x:c>
      <x:c r="O99" s="58" t="n">
        <x:f>COUNTIF(F99:M99,"O")+COUNTIF(F99:M99,"O*")</x:f>
        <x:v>1</x:v>
      </x:c>
      <x:c r="P99" s="58" t="str">
        <x:f>IF(O99=0,"MỒ CÔI","Đã phủ")</x:f>
        <x:v>Đã phủ</x:v>
      </x:c>
    </x:row>
    <x:row r="100" ht="40" customHeight="1">
      <x:c r="A100" s="36" t="n">
        <x:v>96</x:v>
      </x:c>
      <x:c r="B100" s="36" t="str">
        <x:v>PRO-BAS-01</x:v>
      </x:c>
      <x:c r="C100" s="36" t="str">
        <x:v>Người dùng</x:v>
      </x:c>
      <x:c r="D100" s="36" t="str">
        <x:v>Hồ sơ</x:v>
      </x:c>
      <x:c r="E100" s="36" t="str">
        <x:v>Cập nhật ảnh đại diện</x:v>
      </x:c>
      <x:c r="F100" s="58" t="str">
        <x:v>X</x:v>
      </x:c>
      <x:c r="G100" s="58" t="str">
        <x:v>O*</x:v>
      </x:c>
      <x:c r="H100" s="58" t="str">
        <x:v>O*</x:v>
      </x:c>
      <x:c r="I100" s="58" t="str">
        <x:v>O*</x:v>
      </x:c>
      <x:c r="J100" s="58" t="str">
        <x:v>O*</x:v>
      </x:c>
      <x:c r="K100" s="58" t="str">
        <x:v>O*</x:v>
      </x:c>
      <x:c r="L100" s="58" t="str">
        <x:v>X</x:v>
      </x:c>
      <x:c r="M100" s="58" t="str">
        <x:v>X</x:v>
      </x:c>
      <x:c r="N100" s="36" t="str">
        <x:v>Người dùng xác thực chỉ được xem/thao tác bản ghi có user_id của chính mình hoặc được gán; API bắt buộc kiểm tra ownership.</x:v>
      </x:c>
      <x:c r="O100" s="58" t="n">
        <x:f>COUNTIF(F100:M100,"O")+COUNTIF(F100:M100,"O*")</x:f>
        <x:v>5</x:v>
      </x:c>
      <x:c r="P100" s="58" t="str">
        <x:f>IF(O100=0,"MỒ CÔI","Đã phủ")</x:f>
        <x:v>Đã phủ</x:v>
      </x:c>
    </x:row>
    <x:row r="101" ht="40" customHeight="1">
      <x:c r="A101" s="36" t="n">
        <x:v>97</x:v>
      </x:c>
      <x:c r="B101" s="36" t="str">
        <x:v>PRO-ADV-01</x:v>
      </x:c>
      <x:c r="C101" s="36" t="str">
        <x:v>Người dùng</x:v>
      </x:c>
      <x:c r="D101" s="36" t="str">
        <x:v>Hồ sơ</x:v>
      </x:c>
      <x:c r="E101" s="36" t="str">
        <x:v>Xác minh tài khoản</x:v>
      </x:c>
      <x:c r="F101" s="58" t="str">
        <x:v>X</x:v>
      </x:c>
      <x:c r="G101" s="58" t="str">
        <x:v>O*</x:v>
      </x:c>
      <x:c r="H101" s="58" t="str">
        <x:v>X</x:v>
      </x:c>
      <x:c r="I101" s="58" t="str">
        <x:v>X</x:v>
      </x:c>
      <x:c r="J101" s="58" t="str">
        <x:v>X</x:v>
      </x:c>
      <x:c r="K101" s="58" t="str">
        <x:v>O</x:v>
      </x:c>
      <x:c r="L101" s="58" t="str">
        <x:v>X</x:v>
      </x:c>
      <x:c r="M101" s="58" t="str">
        <x:v>X</x:v>
      </x:c>
      <x:c r="N101" s="36" t="str">
        <x:v>Người dùng xác thực chỉ được xem/thao tác bản ghi có user_id của chính mình hoặc được gán; API bắt buộc kiểm tra ownership.</x:v>
      </x:c>
      <x:c r="O101" s="58" t="n">
        <x:f>COUNTIF(F101:M101,"O")+COUNTIF(F101:M101,"O*")</x:f>
        <x:v>2</x:v>
      </x:c>
      <x:c r="P101" s="58" t="str">
        <x:f>IF(O101=0,"MỒ CÔI","Đã phủ")</x:f>
        <x:v>Đã phủ</x:v>
      </x:c>
    </x:row>
    <x:row r="102" ht="40" customHeight="1">
      <x:c r="A102" s="36" t="n">
        <x:v>98</x:v>
      </x:c>
      <x:c r="B102" s="36" t="str">
        <x:v>SUP-OTH-01</x:v>
      </x:c>
      <x:c r="C102" s="36" t="str">
        <x:v>Yêu cầu hỗ trợ</x:v>
      </x:c>
      <x:c r="D102" s="36" t="str">
        <x:v>Hỗ trợ</x:v>
      </x:c>
      <x:c r="E102" s="36" t="str">
        <x:v>Hỗ trợ trực tuyến/chatbot</x:v>
      </x:c>
      <x:c r="F102" s="58" t="str">
        <x:v>X</x:v>
      </x:c>
      <x:c r="G102" s="58" t="str">
        <x:v>O*</x:v>
      </x:c>
      <x:c r="H102" s="58" t="str">
        <x:v>X</x:v>
      </x:c>
      <x:c r="I102" s="58" t="str">
        <x:v>O</x:v>
      </x:c>
      <x:c r="J102" s="58" t="str">
        <x:v>X</x:v>
      </x:c>
      <x:c r="K102" s="58" t="str">
        <x:v>O</x:v>
      </x:c>
      <x:c r="L102" s="58" t="str">
        <x:v>X</x:v>
      </x:c>
      <x:c r="M102" s="58" t="str">
        <x:v>X</x:v>
      </x:c>
      <x:c r="N102" s="36" t="str">
        <x:v>Người dùng xác thực chỉ được xem/thao tác bản ghi có user_id của chính mình hoặc được gán; API bắt buộc kiểm tra ownership.</x:v>
      </x:c>
      <x:c r="O102" s="58" t="n">
        <x:f>COUNTIF(F102:M102,"O")+COUNTIF(F102:M102,"O*")</x:f>
        <x:v>3</x:v>
      </x:c>
      <x:c r="P102" s="58" t="str">
        <x:f>IF(O102=0,"MỒ CÔI","Đã phủ")</x:f>
        <x:v>Đã phủ</x:v>
      </x:c>
    </x:row>
    <x:row r="103" ht="40" customHeight="1">
      <x:c r="A103" s="36" t="n">
        <x:v>99</x:v>
      </x:c>
      <x:c r="B103" s="36" t="str">
        <x:v>ROL-BAS-01</x:v>
      </x:c>
      <x:c r="C103" s="36" t="str">
        <x:v>Vai trò/Quyền</x:v>
      </x:c>
      <x:c r="D103" s="36" t="str">
        <x:v>Quản trị người dùng</x:v>
      </x:c>
      <x:c r="E103" s="36" t="str">
        <x:v>Quản lý vai trò và quyền</x:v>
      </x:c>
      <x:c r="F103" s="58" t="str">
        <x:v>X</x:v>
      </x:c>
      <x:c r="G103" s="58" t="str">
        <x:v>X</x:v>
      </x:c>
      <x:c r="H103" s="58" t="str">
        <x:v>X</x:v>
      </x:c>
      <x:c r="I103" s="58" t="str">
        <x:v>X</x:v>
      </x:c>
      <x:c r="J103" s="58" t="str">
        <x:v>X</x:v>
      </x:c>
      <x:c r="K103" s="58" t="str">
        <x:v>O</x:v>
      </x:c>
      <x:c r="L103" s="58" t="str">
        <x:v>X</x:v>
      </x:c>
      <x:c r="M103" s="58" t="str">
        <x:v>X</x:v>
      </x:c>
      <x:c r="N103" s="36" t="str">
        <x:v>Chỉ Quản trị viên; áp dụng nguyên tắc tối thiểu, không tự khóa admin đang đăng nhập.</x:v>
      </x:c>
      <x:c r="O103" s="58" t="n">
        <x:f>COUNTIF(F103:M103,"O")+COUNTIF(F103:M103,"O*")</x:f>
        <x:v>1</x:v>
      </x:c>
      <x:c r="P103" s="58" t="str">
        <x:f>IF(O103=0,"MỒ CÔI","Đã phủ")</x:f>
        <x:v>Đã phủ</x:v>
      </x:c>
    </x:row>
    <x:row r="104" ht="40" customHeight="1">
      <x:c r="A104" s="36" t="n">
        <x:v>100</x:v>
      </x:c>
      <x:c r="B104" s="36" t="str">
        <x:v>AST-BAS-01</x:v>
      </x:c>
      <x:c r="C104" s="36" t="str">
        <x:v>Tài sản số</x:v>
      </x:c>
      <x:c r="D104" s="36" t="str">
        <x:v>Nội dung</x:v>
      </x:c>
      <x:c r="E104" s="36" t="str">
        <x:v>Quản lý thư viện media</x:v>
      </x:c>
      <x:c r="F104" s="58" t="str">
        <x:v>X</x:v>
      </x:c>
      <x:c r="G104" s="58" t="str">
        <x:v>X</x:v>
      </x:c>
      <x:c r="H104" s="58" t="str">
        <x:v>X</x:v>
      </x:c>
      <x:c r="I104" s="58" t="str">
        <x:v>X</x:v>
      </x:c>
      <x:c r="J104" s="58" t="str">
        <x:v>O</x:v>
      </x:c>
      <x:c r="K104" s="58" t="str">
        <x:v>O</x:v>
      </x:c>
      <x:c r="L104" s="58" t="str">
        <x:v>X</x:v>
      </x:c>
      <x:c r="M104" s="58" t="str">
        <x:v>X</x:v>
      </x:c>
      <x:c r="N104" s="36" t="str">
        <x:v>Tài sản số / Nội dung: quyền được gán theo actor, hàng đợi công việc và trạng thái hiện tại.</x:v>
      </x:c>
      <x:c r="O104" s="58" t="n">
        <x:f>COUNTIF(F104:M104,"O")+COUNTIF(F104:M104,"O*")</x:f>
        <x:v>2</x:v>
      </x:c>
      <x:c r="P104" s="58" t="str">
        <x:f>IF(O104=0,"MỒ CÔI","Đã phủ")</x:f>
        <x:v>Đã phủ</x:v>
      </x:c>
    </x:row>
  </x:sheetData>
  <x:mergeCells>
    <x:mergeCell ref="A1:P1"/>
    <x:mergeCell ref="A2:P2"/>
    <x:mergeCell ref="A3:E3"/>
    <x:mergeCell ref="F3:G3"/>
    <x:mergeCell ref="H3:K3"/>
    <x:mergeCell ref="L3:M3"/>
    <x:mergeCell ref="N3:P3"/>
  </x:mergeCells>
  <x:conditionalFormatting sqref="F5:M104">
    <x:cfRule type="containsText" dxfId="0" priority="1" operator="containsText" text="O*"/>
    <x:cfRule type="containsText" dxfId="1" priority="2" operator="containsText" text="O"/>
    <x:cfRule type="containsText" dxfId="2" priority="3" operator="containsText" text="X"/>
  </x:conditionalFormatting>
  <x:conditionalFormatting sqref="P5:P104">
    <x:cfRule type="containsText" dxfId="3" priority="4" operator="containsText" text="Đã phủ"/>
    <x:cfRule type="containsText" dxfId="4" priority="5" operator="containsText" text="MỒ CÔI"/>
  </x:conditionalFormatting>
  <x:dataValidations count="1">
    <x:dataValidation type="list" sqref="F5:M104">
      <x:formula1>"O,O*,X"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62" hidden="0" customWidth="1"/>
  </x:cols>
  <x:sheetData>
    <x:row r="1" ht="34" customHeight="1">
      <x:c r="A1" s="12" t="str">
        <x:v>FLOWERY – KIỂM TRA TÍNH ĐẦY ĐỦ CỦA RBAC</x:v>
      </x:c>
      <x:c r="B1" s="13" t="str">
        <x:v>FLOWERY – KIỂM TRA TÍNH ĐẦY ĐỦ CỦA RBAC</x:v>
      </x:c>
      <x:c r="C1" s="13" t="str">
        <x:v>FLOWERY – KIỂM TRA TÍNH ĐẦY ĐỦ CỦA RBAC</x:v>
      </x:c>
      <x:c r="D1" s="13" t="str">
        <x:v>FLOWERY – KIỂM TRA TÍNH ĐẦY ĐỦ CỦA RBAC</x:v>
      </x:c>
      <x:c r="E1" s="13" t="str">
        <x:v>FLOWERY – KIỂM TRA TÍNH ĐẦY ĐỦ CỦA RBAC</x:v>
      </x:c>
      <x:c r="F1" s="13" t="str">
        <x:v>FLOWERY – KIỂM TRA TÍNH ĐẦY ĐỦ CỦA RBAC</x:v>
      </x:c>
      <x:c r="G1" s="13" t="str">
        <x:v>FLOWERY – KIỂM TRA TÍNH ĐẦY ĐỦ CỦA RBAC</x:v>
      </x:c>
      <x:c r="H1" s="13" t="str">
        <x:v>FLOWERY – KIỂM TRA TÍNH ĐẦY ĐỦ CỦA RBAC</x:v>
      </x:c>
      <x:c r="I1" s="14" t="str">
        <x:v>FLOWERY – KIỂM TRA TÍNH ĐẦY ĐỦ CỦA RBAC</x:v>
      </x:c>
    </x:row>
    <x:row r="3" ht="24" customHeight="1">
      <x:c r="A3" s="20" t="str">
        <x:v>Kết quả kiểm tra tự động</x:v>
      </x:c>
      <x:c r="B3" s="20" t="str">
        <x:v>Kết quả kiểm tra tự động</x:v>
      </x:c>
      <x:c r="C3" s="20" t="str">
        <x:v>Kết quả kiểm tra tự động</x:v>
      </x:c>
      <x:c r="D3" s="20" t="str">
        <x:v>Kết quả kiểm tra tự động</x:v>
      </x:c>
      <x:c r="E3" s="20" t="str">
        <x:v>Kết quả kiểm tra tự động</x:v>
      </x:c>
      <x:c r="F3" s="20" t="str">
        <x:v>Kết quả kiểm tra tự động</x:v>
      </x:c>
      <x:c r="G3" s="20" t="str">
        <x:v>Kết quả kiểm tra tự động</x:v>
      </x:c>
      <x:c r="H3" s="20" t="str">
        <x:v>Kết quả kiểm tra tự động</x:v>
      </x:c>
      <x:c r="I3" s="20" t="str">
        <x:v>Kết quả kiểm tra tự động</x:v>
      </x:c>
    </x:row>
    <x:row r="4" ht="34" customHeight="1">
      <x:c r="A4" s="32" t="str">
        <x:v>Chỉ số</x:v>
      </x:c>
      <x:c r="B4" s="32" t="str">
        <x:v>Giá trị</x:v>
      </x:c>
      <x:c r="C4" s="32" t="str">
        <x:v>Công thức / nguồn</x:v>
      </x:c>
      <x:c r="D4" s="32" t="str">
        <x:v>Kết luận</x:v>
      </x:c>
    </x:row>
    <x:row r="5">
      <x:c r="A5" s="25" t="str">
        <x:v>Tổng chức năng</x:v>
      </x:c>
      <x:c r="B5" s="25" t="n">
        <x:f>COUNTA('Ma trận RBAC'!$B$5:$B$104)</x:f>
        <x:v>100</x:v>
      </x:c>
      <x:c r="C5" s="25" t="str">
        <x:v>Ma trận RBAC!B</x:v>
      </x:c>
      <x:c r="D5" s="25" t="str">
        <x:f>IF(B5&gt;0,"Có dữ liệu","Thiếu")</x:f>
        <x:v>Có dữ liệu</x:v>
      </x:c>
    </x:row>
    <x:row r="6">
      <x:c r="A6" s="25" t="str">
        <x:v>Chức năng đã phủ</x:v>
      </x:c>
      <x:c r="B6" s="25" t="n">
        <x:f>COUNTIF('Ma trận RBAC'!$P$5:$P$104,"Đã phủ")</x:f>
        <x:v>100</x:v>
      </x:c>
      <x:c r="C6" s="25" t="str">
        <x:v>Ma trận RBAC!P</x:v>
      </x:c>
      <x:c r="D6" s="25" t="str">
        <x:f>IF(B6=B5,"Đủ","Thiếu")</x:f>
        <x:v>Đủ</x:v>
      </x:c>
    </x:row>
    <x:row r="7">
      <x:c r="A7" s="25" t="str">
        <x:v>Chức năng mồ côi</x:v>
      </x:c>
      <x:c r="B7" s="25" t="n">
        <x:f>COUNTIF('Ma trận RBAC'!$P$5:$P$104,"MỒ CÔI")</x:f>
        <x:v>0</x:v>
      </x:c>
      <x:c r="C7" s="25" t="str">
        <x:v>Ma trận RBAC!P</x:v>
      </x:c>
      <x:c r="D7" s="25" t="str">
        <x:f>IF(B7=0,"Đạt","Không đạt")</x:f>
        <x:v>Đạt</x:v>
      </x:c>
    </x:row>
    <x:row r="8">
      <x:c r="A8" s="25" t="str">
        <x:v>Trạng thái kiểm tra</x:v>
      </x:c>
      <x:c r="B8" s="25" t="str">
        <x:f>IF(B7=0,"ĐẠT – không có chức năng mồ côi","CẦN SỬA")</x:f>
        <x:v>ĐẠT – không có chức năng mồ côi</x:v>
      </x:c>
      <x:c r="C8" s="25" t="str">
        <x:v>Không có chức năng mồ côi</x:v>
      </x:c>
      <x:c r="D8" s="25" t="str">
        <x:f>B8</x:f>
        <x:v>ĐẠT – không có chức năng mồ côi</x:v>
      </x:c>
    </x:row>
    <x:row r="10" ht="24" customHeight="1">
      <x:c r="A10" s="20" t="str">
        <x:v>Số chức năng được cấp cho từng role</x:v>
      </x:c>
      <x:c r="B10" s="20" t="str">
        <x:v>Số chức năng được cấp cho từng role</x:v>
      </x:c>
      <x:c r="C10" s="20" t="str">
        <x:v>Số chức năng được cấp cho từng role</x:v>
      </x:c>
      <x:c r="D10" s="20" t="str">
        <x:v>Số chức năng được cấp cho từng role</x:v>
      </x:c>
      <x:c r="E10" s="20" t="str">
        <x:v>Số chức năng được cấp cho từng role</x:v>
      </x:c>
      <x:c r="F10" s="20" t="str">
        <x:v>Số chức năng được cấp cho từng role</x:v>
      </x:c>
      <x:c r="G10" s="20" t="str">
        <x:v>Số chức năng được cấp cho từng role</x:v>
      </x:c>
      <x:c r="H10" s="20" t="str">
        <x:v>Số chức năng được cấp cho từng role</x:v>
      </x:c>
      <x:c r="I10" s="20" t="str">
        <x:v>Số chức năng được cấp cho từng role</x:v>
      </x:c>
    </x:row>
    <x:row r="11" ht="34" customHeight="1">
      <x:c r="A11" s="32" t="str">
        <x:v>Role</x:v>
      </x:c>
      <x:c r="B11" s="32" t="str">
        <x:v>Số chức năng có quyền</x:v>
      </x:c>
      <x:c r="C11" s="32" t="str">
        <x:v>Ranh giới chính</x:v>
      </x:c>
    </x:row>
    <x:row r="12">
      <x:c r="A12" s="25" t="str">
        <x:v>Khách vãng lai</x:v>
      </x:c>
      <x:c r="B12" s="25" t="n">
        <x:f>COUNTIF('Ma trận RBAC'!$F$5:$F$104,"O")+COUNTIF('Ma trận RBAC'!$F$5:$F$104,"O*")</x:f>
        <x:v>12</x:v>
      </x:c>
      <x:c r="C12" s="25" t="str">
        <x:v>Catalog công khai và xác thực</x:v>
      </x:c>
    </x:row>
    <x:row r="13">
      <x:c r="A13" s="25" t="str">
        <x:v>Khách hàng</x:v>
      </x:c>
      <x:c r="B13" s="25" t="n">
        <x:f>COUNTIF('Ma trận RBAC'!$G$5:$G$104,"O")+COUNTIF('Ma trận RBAC'!$G$5:$G$104,"O*")</x:f>
        <x:v>33</x:v>
      </x:c>
      <x:c r="C13" s="25" t="str">
        <x:v>Dữ liệu cá nhân, mua sắm, đánh giá, refund của mình</x:v>
      </x:c>
    </x:row>
    <x:row r="14">
      <x:c r="A14" s="25" t="str">
        <x:v>Nhân viên kho</x:v>
      </x:c>
      <x:c r="B14" s="25" t="n">
        <x:f>COUNTIF('Ma trận RBAC'!$H$5:$H$104,"O")+COUNTIF('Ma trận RBAC'!$H$5:$H$104,"O*")</x:f>
        <x:v>39</x:v>
      </x:c>
      <x:c r="C14" s="25" t="str">
        <x:v>Chuẩn bị/bàn giao đơn, tồn kho và báo cáo vận hành</x:v>
      </x:c>
    </x:row>
    <x:row r="15">
      <x:c r="A15" s="25" t="str">
        <x:v>Nhân viên CSKH</x:v>
      </x:c>
      <x:c r="B15" s="25" t="n">
        <x:f>COUNTIF('Ma trận RBAC'!$I$5:$I$104,"O")+COUNTIF('Ma trận RBAC'!$I$5:$I$104,"O*")</x:f>
        <x:v>43</x:v>
      </x:c>
      <x:c r="C15" s="25" t="str">
        <x:v>Thẩm định refund, hỗ trợ và theo dõi đơn</x:v>
      </x:c>
    </x:row>
    <x:row r="16">
      <x:c r="A16" s="25" t="str">
        <x:v>Biên tập nội dung</x:v>
      </x:c>
      <x:c r="B16" s="25" t="n">
        <x:f>COUNTIF('Ma trận RBAC'!$J$5:$J$104,"O")+COUNTIF('Ma trận RBAC'!$J$5:$J$104,"O*")</x:f>
        <x:v>44</x:v>
      </x:c>
      <x:c r="C16" s="25" t="str">
        <x:v>Catalog, danh mục, nội dung, media, review</x:v>
      </x:c>
    </x:row>
    <x:row r="17">
      <x:c r="A17" s="25" t="str">
        <x:v>Quản trị viên</x:v>
      </x:c>
      <x:c r="B17" s="25" t="n">
        <x:f>COUNTIF('Ma trận RBAC'!$K$5:$K$104,"O")+COUNTIF('Ma trận RBAC'!$K$5:$K$104,"O*")</x:f>
        <x:v>74</x:v>
      </x:c>
      <x:c r="C17" s="25" t="str">
        <x:v>Quản trị, cấu hình, audit và quyền đầy đủ</x:v>
      </x:c>
    </x:row>
    <x:row r="18">
      <x:c r="A18" s="25" t="str">
        <x:v>Đơn vị vận chuyển</x:v>
      </x:c>
      <x:c r="B18" s="25" t="n">
        <x:f>COUNTIF('Ma trận RBAC'!$L$5:$L$104,"O")+COUNTIF('Ma trận RBAC'!$L$5:$L$104,"O*")</x:f>
        <x:v>3</x:v>
      </x:c>
      <x:c r="C18" s="25" t="str">
        <x:v>Chỉ webhook giao hàng/giao lại/giao thành công</x:v>
      </x:c>
    </x:row>
    <x:row r="19">
      <x:c r="A19" s="25" t="str">
        <x:v>Hệ thống / đối tác</x:v>
      </x:c>
      <x:c r="B19" s="25" t="n">
        <x:f>COUNTIF('Ma trận RBAC'!$M$5:$M$104,"O")+COUNTIF('Ma trận RBAC'!$M$5:$M$104,"O*")</x:f>
        <x:v>24</x:v>
      </x:c>
      <x:c r="C19" s="25" t="str">
        <x:v>Transaction, payment, thông báo, Partner API/XML</x:v>
      </x:c>
    </x:row>
    <x:row r="21" ht="24" customHeight="1">
      <x:c r="A21" s="20" t="str">
        <x:v>Quy tắc tách biệt quyền theo BPMN và State Diagram</x:v>
      </x:c>
      <x:c r="B21" s="20" t="str">
        <x:v>Quy tắc tách biệt quyền theo BPMN và State Diagram</x:v>
      </x:c>
      <x:c r="C21" s="20" t="str">
        <x:v>Quy tắc tách biệt quyền theo BPMN và State Diagram</x:v>
      </x:c>
      <x:c r="D21" s="20" t="str">
        <x:v>Quy tắc tách biệt quyền theo BPMN và State Diagram</x:v>
      </x:c>
      <x:c r="E21" s="20" t="str">
        <x:v>Quy tắc tách biệt quyền theo BPMN và State Diagram</x:v>
      </x:c>
      <x:c r="F21" s="20" t="str">
        <x:v>Quy tắc tách biệt quyền theo BPMN và State Diagram</x:v>
      </x:c>
      <x:c r="G21" s="20" t="str">
        <x:v>Quy tắc tách biệt quyền theo BPMN và State Diagram</x:v>
      </x:c>
      <x:c r="H21" s="20" t="str">
        <x:v>Quy tắc tách biệt quyền theo BPMN và State Diagram</x:v>
      </x:c>
      <x:c r="I21" s="20" t="str">
        <x:v>Quy tắc tách biệt quyền theo BPMN và State Diagram</x:v>
      </x:c>
    </x:row>
    <x:row r="22" ht="34" customHeight="1">
      <x:c r="A22" s="32" t="str">
        <x:v>Mã</x:v>
      </x:c>
      <x:c r="B22" s="32" t="str">
        <x:v>Thao tác</x:v>
      </x:c>
      <x:c r="C22" s="32" t="str">
        <x:v>Role có quyền</x:v>
      </x:c>
      <x:c r="D22" s="32" t="str">
        <x:v>Điều kiện trạng thái</x:v>
      </x:c>
      <x:c r="E22" s="32" t="str">
        <x:v>Kiểm soát bắt buộc</x:v>
      </x:c>
    </x:row>
    <x:row r="23" ht="42" customHeight="1">
      <x:c r="A23" s="25" t="str">
        <x:v>ORD-1</x:v>
      </x:c>
      <x:c r="B23" s="25" t="str">
        <x:v>Chuẩn bị đơn</x:v>
      </x:c>
      <x:c r="C23" s="25" t="str">
        <x:v>Kho/Admin</x:v>
      </x:c>
      <x:c r="D23" s="25" t="str">
        <x:v>Confirmed → Preparing</x:v>
      </x:c>
      <x:c r="E23" s="25" t="str">
        <x:v>CSKH/Biên tập/Khách không có nút thao tác.</x:v>
      </x:c>
    </x:row>
    <x:row r="24" ht="42" customHeight="1">
      <x:c r="A24" s="25" t="str">
        <x:v>ORD-2</x:v>
      </x:c>
      <x:c r="B24" s="25" t="str">
        <x:v>Bàn giao vận chuyển</x:v>
      </x:c>
      <x:c r="C24" s="25" t="str">
        <x:v>Kho/Admin</x:v>
      </x:c>
      <x:c r="D24" s="25" t="str">
        <x:v>Preparing → Shipping</x:v>
      </x:c>
      <x:c r="E24" s="25" t="str">
        <x:v>Bắt buộc có carrier và tracking.</x:v>
      </x:c>
    </x:row>
    <x:row r="25" ht="42" customHeight="1">
      <x:c r="A25" s="25" t="str">
        <x:v>ORD-3</x:v>
      </x:c>
      <x:c r="B25" s="25" t="str">
        <x:v>Kết quả giao hàng</x:v>
      </x:c>
      <x:c r="C25" s="25" t="str">
        <x:v>Carrier/System</x:v>
      </x:c>
      <x:c r="D25" s="25" t="str">
        <x:v>Shipping → Delivered hoặc Shipping → Shipping (giao lại)</x:v>
      </x:c>
      <x:c r="E25" s="25" t="str">
        <x:v>Webhook có xác thực; bằng chứng giao là bắt buộc khi Delivered.</x:v>
      </x:c>
    </x:row>
    <x:row r="26" ht="42" customHeight="1">
      <x:c r="A26" s="25" t="str">
        <x:v>REF-1</x:v>
      </x:c>
      <x:c r="B26" s="25" t="str">
        <x:v>Thẩm định refund</x:v>
      </x:c>
      <x:c r="C26" s="25" t="str">
        <x:v>CSKH/Admin</x:v>
      </x:c>
      <x:c r="D26" s="25" t="str">
        <x:v>Pending</x:v>
      </x:c>
      <x:c r="E26" s="25" t="str">
        <x:v>UI chỉ hiện Duyệt/Từ chối khi Pending.</x:v>
      </x:c>
    </x:row>
    <x:row r="27" ht="42" customHeight="1">
      <x:c r="A27" s="25" t="str">
        <x:v>REF-2</x:v>
      </x:c>
      <x:c r="B27" s="25" t="str">
        <x:v>Hoàn tất refund</x:v>
      </x:c>
      <x:c r="C27" s="25" t="str">
        <x:v>System/Gateway</x:v>
      </x:c>
      <x:c r="D27" s="25" t="str">
        <x:v>Approved → Completed</x:v>
      </x:c>
      <x:c r="E27" s="25" t="str">
        <x:v>CSKH không có nút Completed; lỗi gateway giữ Approved để retry.</x:v>
      </x:c>
    </x:row>
  </x:sheetData>
  <x:mergeCells>
    <x:mergeCell ref="A1:I1"/>
    <x:mergeCell ref="A3:I3"/>
    <x:mergeCell ref="A10:I10"/>
    <x:mergeCell ref="A21:I21"/>
  </x:mergeCells>
  <x:conditionalFormatting sqref="B8:D8">
    <x:cfRule type="containsText" dxfId="5" priority="1" operator="containsText" text="ĐẠT"/>
    <x:cfRule type="containsText" dxfId="6" priority="2" operator="containsText" text="CẦ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2" hidden="0" customWidth="1"/>
    <x:col min="4" max="4" width="16" hidden="0" customWidth="1"/>
    <x:col min="5" max="5" width="24" hidden="0" customWidth="1"/>
    <x:col min="6" max="6" width="42" hidden="0" customWidth="1"/>
    <x:col min="7" max="7" width="26" hidden="0" customWidth="1"/>
    <x:col min="8" max="8" width="20" hidden="0" customWidth="1"/>
  </x:cols>
  <x:sheetData>
    <x:row r="1" ht="34" customHeight="1">
      <x:c r="A1" s="12" t="str">
        <x:v>FLOWERY – DANH MỤC MÀN HÌNH VÀ ÁNH XẠ BPMN / STATE</x:v>
      </x:c>
      <x:c r="B1" s="13" t="str">
        <x:v>FLOWERY – DANH MỤC MÀN HÌNH VÀ ÁNH XẠ BPMN / STATE</x:v>
      </x:c>
      <x:c r="C1" s="13" t="str">
        <x:v>FLOWERY – DANH MỤC MÀN HÌNH VÀ ÁNH XẠ BPMN / STATE</x:v>
      </x:c>
      <x:c r="D1" s="13" t="str">
        <x:v>FLOWERY – DANH MỤC MÀN HÌNH VÀ ÁNH XẠ BPMN / STATE</x:v>
      </x:c>
      <x:c r="E1" s="13" t="str">
        <x:v>FLOWERY – DANH MỤC MÀN HÌNH VÀ ÁNH XẠ BPMN / STATE</x:v>
      </x:c>
      <x:c r="F1" s="13" t="str">
        <x:v>FLOWERY – DANH MỤC MÀN HÌNH VÀ ÁNH XẠ BPMN / STATE</x:v>
      </x:c>
      <x:c r="G1" s="13" t="str">
        <x:v>FLOWERY – DANH MỤC MÀN HÌNH VÀ ÁNH XẠ BPMN / STATE</x:v>
      </x:c>
      <x:c r="H1" s="14" t="str">
        <x:v>FLOWERY – DANH MỤC MÀN HÌNH VÀ ÁNH XẠ BPMN / STATE</x:v>
      </x:c>
    </x:row>
    <x:row r="3" ht="34" customHeight="1">
      <x:c r="A3" s="62" t="str">
        <x:v>Mỗi dòng là một màn hình hoặc modal đại diện; vị trí page trong file Draw.io phải trùng cột ‘Trang Draw.io’. Hành động luôn bị giới hạn bởi role và trạng thái.</x:v>
      </x:c>
      <x:c r="B3" s="62" t="str">
        <x:v>Mỗi dòng là một màn hình hoặc modal đại diện; vị trí page trong file Draw.io phải trùng cột ‘Trang Draw.io’. Hành động luôn bị giới hạn bởi role và trạng thái.</x:v>
      </x:c>
      <x:c r="C3" s="62" t="str">
        <x:v>Mỗi dòng là một màn hình hoặc modal đại diện; vị trí page trong file Draw.io phải trùng cột ‘Trang Draw.io’. Hành động luôn bị giới hạn bởi role và trạng thái.</x:v>
      </x:c>
      <x:c r="D3" s="62" t="str">
        <x:v>Mỗi dòng là một màn hình hoặc modal đại diện; vị trí page trong file Draw.io phải trùng cột ‘Trang Draw.io’. Hành động luôn bị giới hạn bởi role và trạng thái.</x:v>
      </x:c>
      <x:c r="E3" s="62" t="str">
        <x:v>Mỗi dòng là một màn hình hoặc modal đại diện; vị trí page trong file Draw.io phải trùng cột ‘Trang Draw.io’. Hành động luôn bị giới hạn bởi role và trạng thái.</x:v>
      </x:c>
      <x:c r="F3" s="62" t="str">
        <x:v>Mỗi dòng là một màn hình hoặc modal đại diện; vị trí page trong file Draw.io phải trùng cột ‘Trang Draw.io’. Hành động luôn bị giới hạn bởi role và trạng thái.</x:v>
      </x:c>
      <x:c r="G3" s="62" t="str">
        <x:v>Mỗi dòng là một màn hình hoặc modal đại diện; vị trí page trong file Draw.io phải trùng cột ‘Trang Draw.io’. Hành động luôn bị giới hạn bởi role và trạng thái.</x:v>
      </x:c>
      <x:c r="H3" s="62" t="str">
        <x:v>Mỗi dòng là một màn hình hoặc modal đại diện; vị trí page trong file Draw.io phải trùng cột ‘Trang Draw.io’. Hành động luôn bị giới hạn bởi role và trạng thái.</x:v>
      </x:c>
    </x:row>
    <x:row r="4" ht="34" customHeight="1">
      <x:c r="A4" s="32" t="str">
        <x:v>Screen ID</x:v>
      </x:c>
      <x:c r="B4" s="32" t="str">
        <x:v>Tên màn hình / modal</x:v>
      </x:c>
      <x:c r="C4" s="32" t="str">
        <x:v>Actor</x:v>
      </x:c>
      <x:c r="D4" s="32" t="str">
        <x:v>BPMN User Task</x:v>
      </x:c>
      <x:c r="E4" s="32" t="str">
        <x:v>Điều kiện State</x:v>
      </x:c>
      <x:c r="F4" s="32" t="str">
        <x:v>Hành động chính</x:v>
      </x:c>
      <x:c r="G4" s="32" t="str">
        <x:v>Trang Draw.io</x:v>
      </x:c>
      <x:c r="H4" s="32" t="str">
        <x:v>Nhóm</x:v>
      </x:c>
    </x:row>
    <x:row r="5" ht="48" customHeight="1">
      <x:c r="A5" s="25" t="str">
        <x:v>WF-01</x:v>
      </x:c>
      <x:c r="B5" s="25" t="str">
        <x:v>Checkout / Xác nhận đặt hàng</x:v>
      </x:c>
      <x:c r="C5" s="25" t="str">
        <x:v>Khách hàng</x:v>
      </x:c>
      <x:c r="D5" s="25" t="str">
        <x:v>O-T01</x:v>
      </x:c>
      <x:c r="E5" s="25" t="str">
        <x:v>Giỏ hợp lệ</x:v>
      </x:c>
      <x:c r="F5" s="25" t="str">
        <x:v>Nhập người nhận, địa chỉ, phương thức thanh toán; xác nhận đặt hàng</x:v>
      </x:c>
      <x:c r="G5" s="25" t="str">
        <x:v>01 - Checkout</x:v>
      </x:c>
      <x:c r="H5" s="25" t="str">
        <x:v>Luồng đơn hàng</x:v>
      </x:c>
    </x:row>
    <x:row r="6" ht="48" customHeight="1">
      <x:c r="A6" s="25" t="str">
        <x:v>WF-02</x:v>
      </x:c>
      <x:c r="B6" s="25" t="str">
        <x:v>Modal hủy đơn</x:v>
      </x:c>
      <x:c r="C6" s="25" t="str">
        <x:v>Khách hàng</x:v>
      </x:c>
      <x:c r="D6" s="25" t="str">
        <x:v>O-T11</x:v>
      </x:c>
      <x:c r="E6" s="25" t="str">
        <x:v>Confirmed hoặc Preparing</x:v>
      </x:c>
      <x:c r="F6" s="25" t="str">
        <x:v>Xác nhận hủy; trạng thái kết quả là Cancelled</x:v>
      </x:c>
      <x:c r="G6" s="25" t="str">
        <x:v>02 - Hủy đơn</x:v>
      </x:c>
      <x:c r="H6" s="25" t="str">
        <x:v>Luồng đơn hàng</x:v>
      </x:c>
    </x:row>
    <x:row r="7" ht="48" customHeight="1">
      <x:c r="A7" s="25" t="str">
        <x:v>WF-03</x:v>
      </x:c>
      <x:c r="B7" s="25" t="str">
        <x:v>Phiếu chuẩn bị đơn</x:v>
      </x:c>
      <x:c r="C7" s="25" t="str">
        <x:v>Nhân viên kho</x:v>
      </x:c>
      <x:c r="D7" s="25" t="str">
        <x:v>O-T14</x:v>
      </x:c>
      <x:c r="E7" s="25" t="str">
        <x:v>Confirmed</x:v>
      </x:c>
      <x:c r="F7" s="25" t="str">
        <x:v>Bắt đầu chuẩn bị → Preparing</x:v>
      </x:c>
      <x:c r="G7" s="25" t="str">
        <x:v>03 - Kho chuẩn bị</x:v>
      </x:c>
      <x:c r="H7" s="25" t="str">
        <x:v>Luồng đơn hàng</x:v>
      </x:c>
    </x:row>
    <x:row r="8" ht="48" customHeight="1">
      <x:c r="A8" s="25" t="str">
        <x:v>WF-04</x:v>
      </x:c>
      <x:c r="B8" s="25" t="str">
        <x:v>Phiếu bàn giao vận chuyển</x:v>
      </x:c>
      <x:c r="C8" s="25" t="str">
        <x:v>Nhân viên kho</x:v>
      </x:c>
      <x:c r="D8" s="25" t="str">
        <x:v>O-T15</x:v>
      </x:c>
      <x:c r="E8" s="25" t="str">
        <x:v>Preparing</x:v>
      </x:c>
      <x:c r="F8" s="25" t="str">
        <x:v>Xác nhận carrier/tracking và bàn giao → Shipping</x:v>
      </x:c>
      <x:c r="G8" s="25" t="str">
        <x:v>04 - Bàn giao</x:v>
      </x:c>
      <x:c r="H8" s="25" t="str">
        <x:v>Luồng đơn hàng</x:v>
      </x:c>
    </x:row>
    <x:row r="9" ht="48" customHeight="1">
      <x:c r="A9" s="25" t="str">
        <x:v>WF-05</x:v>
      </x:c>
      <x:c r="B9" s="25" t="str">
        <x:v>Cập nhật giao thành công</x:v>
      </x:c>
      <x:c r="C9" s="25" t="str">
        <x:v>Đơn vị vận chuyển</x:v>
      </x:c>
      <x:c r="D9" s="25" t="str">
        <x:v>O-T16, O-T18</x:v>
      </x:c>
      <x:c r="E9" s="25" t="str">
        <x:v>Shipping</x:v>
      </x:c>
      <x:c r="F9" s="25" t="str">
        <x:v>Ghi thời điểm/bằng chứng; xác nhận giao → Delivered</x:v>
      </x:c>
      <x:c r="G9" s="25" t="str">
        <x:v>05 - Giao thành công</x:v>
      </x:c>
      <x:c r="H9" s="25" t="str">
        <x:v>Luồng đơn hàng</x:v>
      </x:c>
    </x:row>
    <x:row r="10" ht="48" customHeight="1">
      <x:c r="A10" s="25" t="str">
        <x:v>WF-06</x:v>
      </x:c>
      <x:c r="B10" s="25" t="str">
        <x:v>Giao thất bại / lịch giao lại</x:v>
      </x:c>
      <x:c r="C10" s="25" t="str">
        <x:v>Đơn vị vận chuyển</x:v>
      </x:c>
      <x:c r="D10" s="25" t="str">
        <x:v>O-T17</x:v>
      </x:c>
      <x:c r="E10" s="25" t="str">
        <x:v>Shipping</x:v>
      </x:c>
      <x:c r="F10" s="25" t="str">
        <x:v>Chọn lý do, ngày giao lại; giữ trạng thái Shipping</x:v>
      </x:c>
      <x:c r="G10" s="25" t="str">
        <x:v>06 - Giao lại</x:v>
      </x:c>
      <x:c r="H10" s="25" t="str">
        <x:v>Luồng đơn hàng</x:v>
      </x:c>
    </x:row>
    <x:row r="11" ht="48" customHeight="1">
      <x:c r="A11" s="25" t="str">
        <x:v>WF-07</x:v>
      </x:c>
      <x:c r="B11" s="25" t="str">
        <x:v>Yêu cầu hoàn tiền</x:v>
      </x:c>
      <x:c r="C11" s="25" t="str">
        <x:v>Khách hàng</x:v>
      </x:c>
      <x:c r="D11" s="25" t="str">
        <x:v>R-T01</x:v>
      </x:c>
      <x:c r="E11" s="25" t="str">
        <x:v>Order = Delivered, chưa có Refund</x:v>
      </x:c>
      <x:c r="F11" s="25" t="str">
        <x:v>Gửi lý do ≥ 10 ký tự và bằng chứng; tạo Pending</x:v>
      </x:c>
      <x:c r="G11" s="25" t="str">
        <x:v>07 - Yêu cầu hoàn tiền</x:v>
      </x:c>
      <x:c r="H11" s="25" t="str">
        <x:v>Luồng hoàn tiền</x:v>
      </x:c>
    </x:row>
    <x:row r="12" ht="48" customHeight="1">
      <x:c r="A12" s="25" t="str">
        <x:v>WF-08</x:v>
      </x:c>
      <x:c r="B12" s="25" t="str">
        <x:v>Thẩm định yêu cầu hoàn tiền</x:v>
      </x:c>
      <x:c r="C12" s="25" t="str">
        <x:v>Nhân viên CSKH</x:v>
      </x:c>
      <x:c r="D12" s="25" t="str">
        <x:v>R-T05</x:v>
      </x:c>
      <x:c r="E12" s="25" t="str">
        <x:v>Refund = Pending</x:v>
      </x:c>
      <x:c r="F12" s="25" t="str">
        <x:v>Xem bằng chứng và quyết định; chỉ hiển thị Duyệt/Từ chối</x:v>
      </x:c>
      <x:c r="G12" s="25" t="str">
        <x:v>08 - CSKH Pending</x:v>
      </x:c>
      <x:c r="H12" s="25" t="str">
        <x:v>Luồng hoàn tiền</x:v>
      </x:c>
    </x:row>
    <x:row r="13" ht="48" customHeight="1">
      <x:c r="A13" s="25" t="str">
        <x:v>WF-09</x:v>
      </x:c>
      <x:c r="B13" s="25" t="str">
        <x:v>Từ chối yêu cầu hoàn tiền</x:v>
      </x:c>
      <x:c r="C13" s="25" t="str">
        <x:v>Nhân viên CSKH</x:v>
      </x:c>
      <x:c r="D13" s="25" t="str">
        <x:v>R-T06</x:v>
      </x:c>
      <x:c r="E13" s="25" t="str">
        <x:v>Refund = Pending</x:v>
      </x:c>
      <x:c r="F13" s="25" t="str">
        <x:v>Nhập lý do từ chối; xác nhận → Rejected</x:v>
      </x:c>
      <x:c r="G13" s="25" t="str">
        <x:v>08 - CSKH Pending</x:v>
      </x:c>
      <x:c r="H13" s="25" t="str">
        <x:v>Luồng hoàn tiền</x:v>
      </x:c>
    </x:row>
    <x:row r="14" ht="48" customHeight="1">
      <x:c r="A14" s="25" t="str">
        <x:v>WF-10</x:v>
      </x:c>
      <x:c r="B14" s="25" t="str">
        <x:v>Phê duyệt yêu cầu hoàn tiền</x:v>
      </x:c>
      <x:c r="C14" s="25" t="str">
        <x:v>Nhân viên CSKH</x:v>
      </x:c>
      <x:c r="D14" s="25" t="str">
        <x:v>R-T08</x:v>
      </x:c>
      <x:c r="E14" s="25" t="str">
        <x:v>Refund = Pending</x:v>
      </x:c>
      <x:c r="F14" s="25" t="str">
        <x:v>Xác nhận phê duyệt → Approved; hệ thống mới gọi gateway</x:v>
      </x:c>
      <x:c r="G14" s="25" t="str">
        <x:v>08 - CSKH Pending</x:v>
      </x:c>
      <x:c r="H14" s="25" t="str">
        <x:v>Luồng hoàn tiền</x:v>
      </x:c>
    </x:row>
    <x:row r="15" ht="48" customHeight="1">
      <x:c r="A15" s="25" t="str">
        <x:v>AD-01</x:v>
      </x:c>
      <x:c r="B15" s="25" t="str">
        <x:v>Quản trị sản phẩm hoa</x:v>
      </x:c>
      <x:c r="C15" s="25" t="str">
        <x:v>Biên tập nội dung / Admin</x:v>
      </x:c>
      <x:c r="D15" s="25" t="str">
        <x:v>CAT-ADM / DAT</x:v>
      </x:c>
      <x:c r="E15" s="25" t="str">
        <x:v>N/A</x:v>
      </x:c>
      <x:c r="F15" s="25" t="str">
        <x:v>Thêm, sửa, ngừng bán; kho chỉ cập nhật tồn bằng thao tác riêng</x:v>
      </x:c>
      <x:c r="G15" s="25" t="str">
        <x:v>10 - Sản phẩm</x:v>
      </x:c>
      <x:c r="H15" s="25" t="str">
        <x:v>Quản trị</x:v>
      </x:c>
    </x:row>
    <x:row r="16" ht="48" customHeight="1">
      <x:c r="A16" s="25" t="str">
        <x:v>AD-02</x:v>
      </x:c>
      <x:c r="B16" s="25" t="str">
        <x:v>Quản trị danh mục hoa</x:v>
      </x:c>
      <x:c r="C16" s="25" t="str">
        <x:v>Biên tập nội dung / Admin</x:v>
      </x:c>
      <x:c r="D16" s="25" t="str">
        <x:v>CAT-ADM</x:v>
      </x:c>
      <x:c r="E16" s="25" t="str">
        <x:v>N/A</x:v>
      </x:c>
      <x:c r="F16" s="25" t="str">
        <x:v>Thêm, sửa, ngừng sử dụng; không ngừng danh mục còn sản phẩm active</x:v>
      </x:c>
      <x:c r="G16" s="25" t="str">
        <x:v>11 - Danh mục</x:v>
      </x:c>
      <x:c r="H16" s="25" t="str">
        <x:v>Quản trị</x:v>
      </x:c>
    </x:row>
    <x:row r="17" ht="48" customHeight="1">
      <x:c r="A17" s="25" t="str">
        <x:v>AD-03</x:v>
      </x:c>
      <x:c r="B17" s="25" t="str">
        <x:v>Theo dõi đơn &amp; tồn kho</x:v>
      </x:c>
      <x:c r="C17" s="25" t="str">
        <x:v>Nhân viên kho / CSKH / Admin</x:v>
      </x:c>
      <x:c r="D17" s="25" t="str">
        <x:v>ORD-ADM / RPT</x:v>
      </x:c>
      <x:c r="E17" s="25" t="str">
        <x:v>Theo quyền</x:v>
      </x:c>
      <x:c r="F17" s="25" t="str">
        <x:v>Tìm kiếm/lọc, mở đúng phiếu hành động theo trạng thái</x:v>
      </x:c>
      <x:c r="G17" s="25" t="str">
        <x:v>12 - Vận hành</x:v>
      </x:c>
      <x:c r="H17" s="25" t="str">
        <x:v>Quản trị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" hidden="0" customWidth="1"/>
    <x:col min="3" max="3" width="22" hidden="0" customWidth="1"/>
    <x:col min="4" max="4" width="26" hidden="0" customWidth="1"/>
    <x:col min="5" max="5" width="22" hidden="0" customWidth="1"/>
    <x:col min="6" max="6" width="12" hidden="0" customWidth="1"/>
    <x:col min="7" max="7" width="25" hidden="0" customWidth="1"/>
    <x:col min="8" max="8" width="76" hidden="0" customWidth="1"/>
    <x:col min="9" max="9" width="26" hidden="0" customWidth="1"/>
  </x:cols>
  <x:sheetData>
    <x:row r="1" ht="34" customHeight="1">
      <x:c r="A1" s="12" t="str">
        <x:v>FLOWERY – MÔ TẢ MÀN HÌNH: ĐẶT HÀNG VÀ HỦY ĐƠN</x:v>
      </x:c>
      <x:c r="B1" s="13" t="str">
        <x:v>FLOWERY – MÔ TẢ MÀN HÌNH: ĐẶT HÀNG VÀ HỦY ĐƠN</x:v>
      </x:c>
      <x:c r="C1" s="13" t="str">
        <x:v>FLOWERY – MÔ TẢ MÀN HÌNH: ĐẶT HÀNG VÀ HỦY ĐƠN</x:v>
      </x:c>
      <x:c r="D1" s="13" t="str">
        <x:v>FLOWERY – MÔ TẢ MÀN HÌNH: ĐẶT HÀNG VÀ HỦY ĐƠN</x:v>
      </x:c>
      <x:c r="E1" s="13" t="str">
        <x:v>FLOWERY – MÔ TẢ MÀN HÌNH: ĐẶT HÀNG VÀ HỦY ĐƠN</x:v>
      </x:c>
      <x:c r="F1" s="13" t="str">
        <x:v>FLOWERY – MÔ TẢ MÀN HÌNH: ĐẶT HÀNG VÀ HỦY ĐƠN</x:v>
      </x:c>
      <x:c r="G1" s="13" t="str">
        <x:v>FLOWERY – MÔ TẢ MÀN HÌNH: ĐẶT HÀNG VÀ HỦY ĐƠN</x:v>
      </x:c>
      <x:c r="H1" s="13" t="str">
        <x:v>FLOWERY – MÔ TẢ MÀN HÌNH: ĐẶT HÀNG VÀ HỦY ĐƠN</x:v>
      </x:c>
      <x:c r="I1" s="14" t="str">
        <x:v>FLOWERY – MÔ TẢ MÀN HÌNH: ĐẶT HÀNG VÀ HỦY ĐƠN</x:v>
      </x:c>
    </x:row>
    <x:row r="3" ht="32" customHeight="1">
      <x:c r="A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B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C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D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E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F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G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H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I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</x:row>
    <x:row r="4" ht="34" customHeight="1">
      <x:c r="A4" s="32" t="str">
        <x:v>Screen ID</x:v>
      </x:c>
      <x:c r="B4" s="32" t="str">
        <x:v>STT</x:v>
      </x:c>
      <x:c r="C4" s="32" t="str">
        <x:v>Section</x:v>
      </x:c>
      <x:c r="D4" s="32" t="str">
        <x:v>Tên trường / hành động</x:v>
      </x:c>
      <x:c r="E4" s="32" t="str">
        <x:v>Kiểu dữ liệu</x:v>
      </x:c>
      <x:c r="F4" s="32" t="str">
        <x:v>Bắt buộc</x:v>
      </x:c>
      <x:c r="G4" s="32" t="str">
        <x:v>Giá trị khởi tạo</x:v>
      </x:c>
      <x:c r="H4" s="32" t="str">
        <x:v>Mô tả ràng buộc / xử lý giao diện</x:v>
      </x:c>
      <x:c r="I4" s="32" t="str">
        <x:v>BPMN / State / quyền</x:v>
      </x:c>
    </x:row>
    <x:row r="5" ht="50" customHeight="1">
      <x:c r="A5" s="36" t="str">
        <x:v>WF-01</x:v>
      </x:c>
      <x:c r="B5" s="36" t="n">
        <x:v>1</x:v>
      </x:c>
      <x:c r="C5" s="36" t="str">
        <x:v>Thông tin nhận hàng</x:v>
      </x:c>
      <x:c r="D5" s="36" t="str">
        <x:v>Họ tên người nhận</x:v>
      </x:c>
      <x:c r="E5" s="36" t="str">
        <x:v>Free Text</x:v>
      </x:c>
      <x:c r="F5" s="58" t="str">
        <x:v>Có</x:v>
      </x:c>
      <x:c r="G5" s="36" t="str">
        <x:v>Lấy từ hồ sơ nếu có</x:v>
      </x:c>
      <x:c r="H5" s="36" t="str">
        <x:v>Tối đa 120 ký tự; trim khoảng trắng; bắt buộc trước khi bấm Đặt hàng.</x:v>
      </x:c>
      <x:c r="I5" s="36" t="str">
        <x:v>O-T01; Customer</x:v>
      </x:c>
    </x:row>
    <x:row r="6" ht="50" customHeight="1">
      <x:c r="A6" s="36" t="str">
        <x:v>WF-01</x:v>
      </x:c>
      <x:c r="B6" s="36" t="n">
        <x:v>2</x:v>
      </x:c>
      <x:c r="C6" s="36" t="str">
        <x:v>Thông tin nhận hàng</x:v>
      </x:c>
      <x:c r="D6" s="36" t="str">
        <x:v>Số điện thoại</x:v>
      </x:c>
      <x:c r="E6" s="36" t="str">
        <x:v>Free Text</x:v>
      </x:c>
      <x:c r="F6" s="58" t="str">
        <x:v>Có</x:v>
      </x:c>
      <x:c r="G6" s="36" t="str">
        <x:v>Lấy từ hồ sơ nếu có</x:v>
      </x:c>
      <x:c r="H6" s="36" t="str">
        <x:v>Chỉ chữ số/`+`; 9–15 ký tự sau chuẩn hóa; hiển thị lỗi ngay dưới trường.</x:v>
      </x:c>
      <x:c r="I6" s="36" t="str">
        <x:v>O-T01; Customer</x:v>
      </x:c>
    </x:row>
    <x:row r="7" ht="50" customHeight="1">
      <x:c r="A7" s="36" t="str">
        <x:v>WF-01</x:v>
      </x:c>
      <x:c r="B7" s="36" t="n">
        <x:v>3</x:v>
      </x:c>
      <x:c r="C7" s="36" t="str">
        <x:v>Thông tin nhận hàng</x:v>
      </x:c>
      <x:c r="D7" s="36" t="str">
        <x:v>Địa chỉ giao</x:v>
      </x:c>
      <x:c r="E7" s="36" t="str">
        <x:v>Text Area</x:v>
      </x:c>
      <x:c r="F7" s="58" t="str">
        <x:v>Có</x:v>
      </x:c>
      <x:c r="G7" s="36" t="str">
        <x:v>Địa chỉ hồ sơ</x:v>
      </x:c>
      <x:c r="H7" s="36" t="str">
        <x:v>Tối thiểu 8 ký tự; tối đa 300; không gửi checkout khi trống.</x:v>
      </x:c>
      <x:c r="I7" s="36" t="str">
        <x:v>O-T01; Customer</x:v>
      </x:c>
    </x:row>
    <x:row r="8" ht="50" customHeight="1">
      <x:c r="A8" s="36" t="str">
        <x:v>WF-01</x:v>
      </x:c>
      <x:c r="B8" s="36" t="n">
        <x:v>4</x:v>
      </x:c>
      <x:c r="C8" s="36" t="str">
        <x:v>Thanh toán</x:v>
      </x:c>
      <x:c r="D8" s="36" t="str">
        <x:v>Phương thức thanh toán</x:v>
      </x:c>
      <x:c r="E8" s="36" t="str">
        <x:v>Radio Button</x:v>
      </x:c>
      <x:c r="F8" s="58" t="str">
        <x:v>Có</x:v>
      </x:c>
      <x:c r="G8" s="36" t="str">
        <x:v>COD</x:v>
      </x:c>
      <x:c r="H8" s="36" t="str">
        <x:v>Giá trị cố định: COD, CARD, MOMO. Online hiển thị cảnh báo chuyển sang cổng thanh toán.</x:v>
      </x:c>
      <x:c r="I8" s="36" t="str">
        <x:v>O-T01/O-T06/O-T07</x:v>
      </x:c>
    </x:row>
    <x:row r="9" ht="50" customHeight="1">
      <x:c r="A9" s="36" t="str">
        <x:v>WF-01</x:v>
      </x:c>
      <x:c r="B9" s="36" t="n">
        <x:v>5</x:v>
      </x:c>
      <x:c r="C9" s="36" t="str">
        <x:v>Tóm tắt đơn</x:v>
      </x:c>
      <x:c r="D9" s="36" t="str">
        <x:v>Danh sách sản phẩm</x:v>
      </x:c>
      <x:c r="E9" s="36" t="str">
        <x:v>Read-only Table</x:v>
      </x:c>
      <x:c r="F9" s="58" t="str">
        <x:v>Có</x:v>
      </x:c>
      <x:c r="G9" s="36" t="str">
        <x:v>Từ giỏ hiện tại</x:v>
      </x:c>
      <x:c r="H9" s="36" t="str">
        <x:v>Giá/tổng chỉ hiển thị tham khảo; API tính lại giá và tồn ở O-T04/O-T09.</x:v>
      </x:c>
      <x:c r="I9" s="36" t="str">
        <x:v>O-T01; System</x:v>
      </x:c>
    </x:row>
    <x:row r="10" ht="50" customHeight="1">
      <x:c r="A10" s="36" t="str">
        <x:v>WF-01</x:v>
      </x:c>
      <x:c r="B10" s="36" t="n">
        <x:v>6</x:v>
      </x:c>
      <x:c r="C10" s="36" t="str">
        <x:v>Tác vụ</x:v>
      </x:c>
      <x:c r="D10" s="36" t="str">
        <x:v>Đặt hàng</x:v>
      </x:c>
      <x:c r="E10" s="36" t="str">
        <x:v>Primary Button</x:v>
      </x:c>
      <x:c r="F10" s="58" t="str">
        <x:v>Có</x:v>
      </x:c>
      <x:c r="G10" s="36" t="str">
        <x:v>Disabled khi giỏ rỗng</x:v>
      </x:c>
      <x:c r="H10" s="36" t="str">
        <x:v>Nút ưu tiên duy nhất; khóa chống nhấn lặp, sinh idempotency key và hiển thị phản hồi thành công/lỗi.</x:v>
      </x:c>
      <x:c r="I10" s="36" t="str">
        <x:v>O-T01/O-T02</x:v>
      </x:c>
    </x:row>
    <x:row r="11" ht="50" customHeight="1">
      <x:c r="A11" s="36" t="str">
        <x:v>WF-02</x:v>
      </x:c>
      <x:c r="B11" s="36" t="n">
        <x:v>1</x:v>
      </x:c>
      <x:c r="C11" s="36" t="str">
        <x:v>Xác nhận hủy</x:v>
      </x:c>
      <x:c r="D11" s="36" t="str">
        <x:v>Mã đơn / trạng thái</x:v>
      </x:c>
      <x:c r="E11" s="36" t="str">
        <x:v>Read-only Text</x:v>
      </x:c>
      <x:c r="F11" s="58" t="str">
        <x:v>Có</x:v>
      </x:c>
      <x:c r="G11" s="36" t="str">
        <x:v>Dữ liệu đơn</x:v>
      </x:c>
      <x:c r="H11" s="36" t="str">
        <x:v>Modal chỉ mở khi trạng thái Confirmed hoặc Preparing và user_id là chủ đơn.</x:v>
      </x:c>
      <x:c r="I11" s="36" t="str">
        <x:v>O-T11; Customer</x:v>
      </x:c>
    </x:row>
    <x:row r="12" ht="50" customHeight="1">
      <x:c r="A12" s="36" t="str">
        <x:v>WF-02</x:v>
      </x:c>
      <x:c r="B12" s="36" t="n">
        <x:v>2</x:v>
      </x:c>
      <x:c r="C12" s="36" t="str">
        <x:v>Xác nhận hủy</x:v>
      </x:c>
      <x:c r="D12" s="36" t="str">
        <x:v>Lý do hủy</x:v>
      </x:c>
      <x:c r="E12" s="36" t="str">
        <x:v>Text Area</x:v>
      </x:c>
      <x:c r="F12" s="58" t="str">
        <x:v>Không</x:v>
      </x:c>
      <x:c r="G12" s="36" t="str">
        <x:v>Khách hàng yêu cầu hủy</x:v>
      </x:c>
      <x:c r="H12" s="36" t="str">
        <x:v>Tối đa 300 ký tự; gửi cùng yêu cầu hủy để audit.</x:v>
      </x:c>
      <x:c r="I12" s="36" t="str">
        <x:v>O-T11/O-T12</x:v>
      </x:c>
    </x:row>
    <x:row r="13" ht="50" customHeight="1">
      <x:c r="A13" s="36" t="str">
        <x:v>WF-02</x:v>
      </x:c>
      <x:c r="B13" s="36" t="n">
        <x:v>3</x:v>
      </x:c>
      <x:c r="C13" s="36" t="str">
        <x:v>Tác vụ</x:v>
      </x:c>
      <x:c r="D13" s="36" t="str">
        <x:v>Xác nhận hủy đơn</x:v>
      </x:c>
      <x:c r="E13" s="36" t="str">
        <x:v>Danger Button</x:v>
      </x:c>
      <x:c r="F13" s="58" t="str">
        <x:v>Có</x:v>
      </x:c>
      <x:c r="G13" s="36" t="str">
        <x:v>Disabled ngoài trạng thái hợp lệ</x:v>
      </x:c>
      <x:c r="H13" s="36" t="str">
        <x:v>Hiển thị modal xác nhận lần cuối; sau thành công thay status thành Cancelled và ẩn nút hủy.</x:v>
      </x:c>
      <x:c r="I13" s="36" t="str">
        <x:v>Order state: Confirmed/Preparing → Cancelled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" hidden="0" customWidth="1"/>
    <x:col min="3" max="3" width="22" hidden="0" customWidth="1"/>
    <x:col min="4" max="4" width="26" hidden="0" customWidth="1"/>
    <x:col min="5" max="5" width="22" hidden="0" customWidth="1"/>
    <x:col min="6" max="6" width="12" hidden="0" customWidth="1"/>
    <x:col min="7" max="7" width="25" hidden="0" customWidth="1"/>
    <x:col min="8" max="8" width="76" hidden="0" customWidth="1"/>
    <x:col min="9" max="9" width="26" hidden="0" customWidth="1"/>
  </x:cols>
  <x:sheetData>
    <x:row r="1" ht="34" customHeight="1">
      <x:c r="A1" s="12" t="str">
        <x:v>FLOWERY – MÔ TẢ MÀN HÌNH: YÊU CẦU VÀ XỬ LÝ HOÀN TIỀN</x:v>
      </x:c>
      <x:c r="B1" s="13" t="str">
        <x:v>FLOWERY – MÔ TẢ MÀN HÌNH: YÊU CẦU VÀ XỬ LÝ HOÀN TIỀN</x:v>
      </x:c>
      <x:c r="C1" s="13" t="str">
        <x:v>FLOWERY – MÔ TẢ MÀN HÌNH: YÊU CẦU VÀ XỬ LÝ HOÀN TIỀN</x:v>
      </x:c>
      <x:c r="D1" s="13" t="str">
        <x:v>FLOWERY – MÔ TẢ MÀN HÌNH: YÊU CẦU VÀ XỬ LÝ HOÀN TIỀN</x:v>
      </x:c>
      <x:c r="E1" s="13" t="str">
        <x:v>FLOWERY – MÔ TẢ MÀN HÌNH: YÊU CẦU VÀ XỬ LÝ HOÀN TIỀN</x:v>
      </x:c>
      <x:c r="F1" s="13" t="str">
        <x:v>FLOWERY – MÔ TẢ MÀN HÌNH: YÊU CẦU VÀ XỬ LÝ HOÀN TIỀN</x:v>
      </x:c>
      <x:c r="G1" s="13" t="str">
        <x:v>FLOWERY – MÔ TẢ MÀN HÌNH: YÊU CẦU VÀ XỬ LÝ HOÀN TIỀN</x:v>
      </x:c>
      <x:c r="H1" s="13" t="str">
        <x:v>FLOWERY – MÔ TẢ MÀN HÌNH: YÊU CẦU VÀ XỬ LÝ HOÀN TIỀN</x:v>
      </x:c>
      <x:c r="I1" s="14" t="str">
        <x:v>FLOWERY – MÔ TẢ MÀN HÌNH: YÊU CẦU VÀ XỬ LÝ HOÀN TIỀN</x:v>
      </x:c>
    </x:row>
    <x:row r="3" ht="32" customHeight="1">
      <x:c r="A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B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C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D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E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F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G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H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I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</x:row>
    <x:row r="4" ht="34" customHeight="1">
      <x:c r="A4" s="32" t="str">
        <x:v>Screen ID</x:v>
      </x:c>
      <x:c r="B4" s="32" t="str">
        <x:v>STT</x:v>
      </x:c>
      <x:c r="C4" s="32" t="str">
        <x:v>Section</x:v>
      </x:c>
      <x:c r="D4" s="32" t="str">
        <x:v>Tên trường / hành động</x:v>
      </x:c>
      <x:c r="E4" s="32" t="str">
        <x:v>Kiểu dữ liệu</x:v>
      </x:c>
      <x:c r="F4" s="32" t="str">
        <x:v>Bắt buộc</x:v>
      </x:c>
      <x:c r="G4" s="32" t="str">
        <x:v>Giá trị khởi tạo</x:v>
      </x:c>
      <x:c r="H4" s="32" t="str">
        <x:v>Mô tả ràng buộc / xử lý giao diện</x:v>
      </x:c>
      <x:c r="I4" s="32" t="str">
        <x:v>BPMN / State / quyền</x:v>
      </x:c>
    </x:row>
    <x:row r="5" ht="50" customHeight="1">
      <x:c r="A5" s="36" t="str">
        <x:v>WF-07</x:v>
      </x:c>
      <x:c r="B5" s="36" t="n">
        <x:v>1</x:v>
      </x:c>
      <x:c r="C5" s="36" t="str">
        <x:v>Thông tin đơn</x:v>
      </x:c>
      <x:c r="D5" s="36" t="str">
        <x:v>Mã đơn / số tiền / trạng thái</x:v>
      </x:c>
      <x:c r="E5" s="36" t="str">
        <x:v>Read-only Card</x:v>
      </x:c>
      <x:c r="F5" s="58" t="str">
        <x:v>Có</x:v>
      </x:c>
      <x:c r="G5" s="36" t="str">
        <x:v>Từ Order</x:v>
      </x:c>
      <x:c r="H5" s="36" t="str">
        <x:v>Chỉ cho phép chọn Order=Delivered, do chính khách sở hữu và chưa có Refund Request.</x:v>
      </x:c>
      <x:c r="I5" s="36" t="str">
        <x:v>R-T01/R-T02</x:v>
      </x:c>
    </x:row>
    <x:row r="6" ht="50" customHeight="1">
      <x:c r="A6" s="36" t="str">
        <x:v>WF-07</x:v>
      </x:c>
      <x:c r="B6" s="36" t="n">
        <x:v>2</x:v>
      </x:c>
      <x:c r="C6" s="36" t="str">
        <x:v>Nội dung yêu cầu</x:v>
      </x:c>
      <x:c r="D6" s="36" t="str">
        <x:v>Lý do hoàn tiền</x:v>
      </x:c>
      <x:c r="E6" s="36" t="str">
        <x:v>Text Area</x:v>
      </x:c>
      <x:c r="F6" s="58" t="str">
        <x:v>Có</x:v>
      </x:c>
      <x:c r="G6" s="36" t="str">
        <x:v>Trống</x:v>
      </x:c>
      <x:c r="H6" s="36" t="str">
        <x:v>Tối thiểu 10, tối đa 500 ký tự; hiển thị đếm ký tự và lỗi cụ thể.</x:v>
      </x:c>
      <x:c r="I6" s="36" t="str">
        <x:v>R-T01/R-T02</x:v>
      </x:c>
    </x:row>
    <x:row r="7" ht="50" customHeight="1">
      <x:c r="A7" s="36" t="str">
        <x:v>WF-07</x:v>
      </x:c>
      <x:c r="B7" s="36" t="n">
        <x:v>3</x:v>
      </x:c>
      <x:c r="C7" s="36" t="str">
        <x:v>Nội dung yêu cầu</x:v>
      </x:c>
      <x:c r="D7" s="36" t="str">
        <x:v>Liên kết bằng chứng</x:v>
      </x:c>
      <x:c r="E7" s="36" t="str">
        <x:v>URL</x:v>
      </x:c>
      <x:c r="F7" s="58" t="str">
        <x:v>Không</x:v>
      </x:c>
      <x:c r="G7" s="36" t="str">
        <x:v>Không có</x:v>
      </x:c>
      <x:c r="H7" s="36" t="str">
        <x:v>Tối đa 500 ký tự; nếu nhập phải là URL hợp lệ. Phiên bản 1.4.0 lưu evidence_url và không tải tệp trực tiếp.</x:v>
      </x:c>
      <x:c r="I7" s="36" t="str">
        <x:v>R-T01; POST /orders/:id/refunds</x:v>
      </x:c>
    </x:row>
    <x:row r="8" ht="50" customHeight="1">
      <x:c r="A8" s="36" t="str">
        <x:v>WF-07</x:v>
      </x:c>
      <x:c r="B8" s="36" t="n">
        <x:v>4</x:v>
      </x:c>
      <x:c r="C8" s="36" t="str">
        <x:v>Tác vụ</x:v>
      </x:c>
      <x:c r="D8" s="36" t="str">
        <x:v>Gửi yêu cầu</x:v>
      </x:c>
      <x:c r="E8" s="36" t="str">
        <x:v>Primary Button</x:v>
      </x:c>
      <x:c r="F8" s="58" t="str">
        <x:v>Có</x:v>
      </x:c>
      <x:c r="G8" s="36" t="str">
        <x:v>Disabled khi lý do chưa hợp lệ</x:v>
      </x:c>
      <x:c r="H8" s="36" t="str">
        <x:v>Sau gửi thành công đổi trạng thái thành Pending, tránh gửi trùng; không còn nút tạo lại.</x:v>
      </x:c>
      <x:c r="I8" s="36" t="str">
        <x:v>Pending state</x:v>
      </x:c>
    </x:row>
    <x:row r="9" ht="50" customHeight="1">
      <x:c r="A9" s="36" t="str">
        <x:v>WF-08</x:v>
      </x:c>
      <x:c r="B9" s="36" t="n">
        <x:v>1</x:v>
      </x:c>
      <x:c r="C9" s="36" t="str">
        <x:v>Thông tin thẩm định</x:v>
      </x:c>
      <x:c r="D9" s="36" t="str">
        <x:v>Đơn / Payment / lịch sử</x:v>
      </x:c>
      <x:c r="E9" s="36" t="str">
        <x:v>Read-only Panel</x:v>
      </x:c>
      <x:c r="F9" s="58" t="str">
        <x:v>Có</x:v>
      </x:c>
      <x:c r="G9" s="36" t="str">
        <x:v>Từ API</x:v>
      </x:c>
      <x:c r="H9" s="36" t="str">
        <x:v>CSKH chỉ đọc thông tin nghiệp vụ cần thiết; che dữ liệu thanh toán nhạy cảm.</x:v>
      </x:c>
      <x:c r="I9" s="36" t="str">
        <x:v>R-T05; Staff</x:v>
      </x:c>
    </x:row>
    <x:row r="10" ht="50" customHeight="1">
      <x:c r="A10" s="36" t="str">
        <x:v>WF-08</x:v>
      </x:c>
      <x:c r="B10" s="36" t="n">
        <x:v>2</x:v>
      </x:c>
      <x:c r="C10" s="36" t="str">
        <x:v>Thông tin thẩm định</x:v>
      </x:c>
      <x:c r="D10" s="36" t="str">
        <x:v>Lý do và bằng chứng</x:v>
      </x:c>
      <x:c r="E10" s="36" t="str">
        <x:v>Read-only Panel</x:v>
      </x:c>
      <x:c r="F10" s="58" t="str">
        <x:v>Có</x:v>
      </x:c>
      <x:c r="G10" s="36" t="str">
        <x:v>Từ Refund</x:v>
      </x:c>
      <x:c r="H10" s="36" t="str">
        <x:v>Mở tệp bằng liên kết an toàn; ghi thời điểm xem vào audit nếu cần.</x:v>
      </x:c>
      <x:c r="I10" s="36" t="str">
        <x:v>R-T05</x:v>
      </x:c>
    </x:row>
    <x:row r="11" ht="50" customHeight="1">
      <x:c r="A11" s="36" t="str">
        <x:v>WF-08</x:v>
      </x:c>
      <x:c r="B11" s="36" t="n">
        <x:v>3</x:v>
      </x:c>
      <x:c r="C11" s="36" t="str">
        <x:v>Quyết định</x:v>
      </x:c>
      <x:c r="D11" s="36" t="str">
        <x:v>Lý do từ chối</x:v>
      </x:c>
      <x:c r="E11" s="36" t="str">
        <x:v>Text Area</x:v>
      </x:c>
      <x:c r="F11" s="58" t="str">
        <x:v>Có khi Từ chối</x:v>
      </x:c>
      <x:c r="G11" s="36" t="str">
        <x:v>Trống</x:v>
      </x:c>
      <x:c r="H11" s="36" t="str">
        <x:v>Bắt buộc khi chọn Từ chối; tối đa 500 ký tự. Không yêu cầu khi Duyệt.</x:v>
      </x:c>
      <x:c r="I11" s="36" t="str">
        <x:v>R-T06</x:v>
      </x:c>
    </x:row>
    <x:row r="12" ht="50" customHeight="1">
      <x:c r="A12" s="36" t="str">
        <x:v>WF-08</x:v>
      </x:c>
      <x:c r="B12" s="36" t="n">
        <x:v>4</x:v>
      </x:c>
      <x:c r="C12" s="36" t="str">
        <x:v>Tác vụ</x:v>
      </x:c>
      <x:c r="D12" s="36" t="str">
        <x:v>Duyệt</x:v>
      </x:c>
      <x:c r="E12" s="36" t="str">
        <x:v>Primary Button</x:v>
      </x:c>
      <x:c r="F12" s="58" t="str">
        <x:v>Chỉ Pending</x:v>
      </x:c>
      <x:c r="G12" s="36" t="str">
        <x:v>Ẩn ngoài Pending</x:v>
      </x:c>
      <x:c r="H12" s="36" t="str">
        <x:v>Chuyển Pending → Approved; sau đó ẩn hai nút quyết định và hiển thị trạng thái chờ hệ thống hoàn tiền.</x:v>
      </x:c>
      <x:c r="I12" s="36" t="str">
        <x:v>R-T08; State rule</x:v>
      </x:c>
    </x:row>
    <x:row r="13" ht="50" customHeight="1">
      <x:c r="A13" s="36" t="str">
        <x:v>WF-08</x:v>
      </x:c>
      <x:c r="B13" s="36" t="n">
        <x:v>5</x:v>
      </x:c>
      <x:c r="C13" s="36" t="str">
        <x:v>Tác vụ</x:v>
      </x:c>
      <x:c r="D13" s="36" t="str">
        <x:v>Từ chối</x:v>
      </x:c>
      <x:c r="E13" s="36" t="str">
        <x:v>Danger Button</x:v>
      </x:c>
      <x:c r="F13" s="58" t="str">
        <x:v>Chỉ Pending</x:v>
      </x:c>
      <x:c r="G13" s="36" t="str">
        <x:v>Ẩn ngoài Pending</x:v>
      </x:c>
      <x:c r="H13" s="36" t="str">
        <x:v>Chuyển Pending → Rejected; bắt buộc lý do; gửi thông báo kết quả.</x:v>
      </x:c>
      <x:c r="I13" s="36" t="str">
        <x:v>R-T06/R-T07; State rule</x:v>
      </x:c>
    </x:row>
    <x:row r="14" ht="50" customHeight="1">
      <x:c r="A14" s="36" t="str">
        <x:v>WF-08</x:v>
      </x:c>
      <x:c r="B14" s="36" t="n">
        <x:v>6</x:v>
      </x:c>
      <x:c r="C14" s="36" t="str">
        <x:v>Trạng thái</x:v>
      </x:c>
      <x:c r="D14" s="36" t="str">
        <x:v>Hoàn tất</x:v>
      </x:c>
      <x:c r="E14" s="36" t="str">
        <x:v>Read-only Status</x:v>
      </x:c>
      <x:c r="F14" s="58" t="str">
        <x:v>N/A</x:v>
      </x:c>
      <x:c r="G14" s="36" t="str">
        <x:v>Hệ thống</x:v>
      </x:c>
      <x:c r="H14" s="36" t="str">
        <x:v>Không có nút Completed cho CSKH. Hệ thống/Gateway chuyển Approved → Completed sau xác nhận thanh toán.</x:v>
      </x:c>
      <x:c r="I14" s="36" t="str">
        <x:v>R-T09–R-T11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" hidden="0" customWidth="1"/>
    <x:col min="3" max="3" width="22" hidden="0" customWidth="1"/>
    <x:col min="4" max="4" width="26" hidden="0" customWidth="1"/>
    <x:col min="5" max="5" width="22" hidden="0" customWidth="1"/>
    <x:col min="6" max="6" width="12" hidden="0" customWidth="1"/>
    <x:col min="7" max="7" width="25" hidden="0" customWidth="1"/>
    <x:col min="8" max="8" width="76" hidden="0" customWidth="1"/>
    <x:col min="9" max="9" width="26" hidden="0" customWidth="1"/>
  </x:cols>
  <x:sheetData>
    <x:row r="1" ht="34" customHeight="1">
      <x:c r="A1" s="12" t="str">
        <x:v>FLOWERY – MÔ TẢ MÀN HÌNH: KHO VÀ VẬN CHUYỂN</x:v>
      </x:c>
      <x:c r="B1" s="13" t="str">
        <x:v>FLOWERY – MÔ TẢ MÀN HÌNH: KHO VÀ VẬN CHUYỂN</x:v>
      </x:c>
      <x:c r="C1" s="13" t="str">
        <x:v>FLOWERY – MÔ TẢ MÀN HÌNH: KHO VÀ VẬN CHUYỂN</x:v>
      </x:c>
      <x:c r="D1" s="13" t="str">
        <x:v>FLOWERY – MÔ TẢ MÀN HÌNH: KHO VÀ VẬN CHUYỂN</x:v>
      </x:c>
      <x:c r="E1" s="13" t="str">
        <x:v>FLOWERY – MÔ TẢ MÀN HÌNH: KHO VÀ VẬN CHUYỂN</x:v>
      </x:c>
      <x:c r="F1" s="13" t="str">
        <x:v>FLOWERY – MÔ TẢ MÀN HÌNH: KHO VÀ VẬN CHUYỂN</x:v>
      </x:c>
      <x:c r="G1" s="13" t="str">
        <x:v>FLOWERY – MÔ TẢ MÀN HÌNH: KHO VÀ VẬN CHUYỂN</x:v>
      </x:c>
      <x:c r="H1" s="13" t="str">
        <x:v>FLOWERY – MÔ TẢ MÀN HÌNH: KHO VÀ VẬN CHUYỂN</x:v>
      </x:c>
      <x:c r="I1" s="14" t="str">
        <x:v>FLOWERY – MÔ TẢ MÀN HÌNH: KHO VÀ VẬN CHUYỂN</x:v>
      </x:c>
    </x:row>
    <x:row r="3" ht="32" customHeight="1">
      <x:c r="A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B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C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D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E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F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G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H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I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</x:row>
    <x:row r="4" ht="34" customHeight="1">
      <x:c r="A4" s="32" t="str">
        <x:v>Screen ID</x:v>
      </x:c>
      <x:c r="B4" s="32" t="str">
        <x:v>STT</x:v>
      </x:c>
      <x:c r="C4" s="32" t="str">
        <x:v>Section</x:v>
      </x:c>
      <x:c r="D4" s="32" t="str">
        <x:v>Tên trường / hành động</x:v>
      </x:c>
      <x:c r="E4" s="32" t="str">
        <x:v>Kiểu dữ liệu</x:v>
      </x:c>
      <x:c r="F4" s="32" t="str">
        <x:v>Bắt buộc</x:v>
      </x:c>
      <x:c r="G4" s="32" t="str">
        <x:v>Giá trị khởi tạo</x:v>
      </x:c>
      <x:c r="H4" s="32" t="str">
        <x:v>Mô tả ràng buộc / xử lý giao diện</x:v>
      </x:c>
      <x:c r="I4" s="32" t="str">
        <x:v>BPMN / State / quyền</x:v>
      </x:c>
    </x:row>
    <x:row r="5" ht="50" customHeight="1">
      <x:c r="A5" s="36" t="str">
        <x:v>WF-03</x:v>
      </x:c>
      <x:c r="B5" s="36" t="n">
        <x:v>1</x:v>
      </x:c>
      <x:c r="C5" s="36" t="str">
        <x:v>Phiếu kho</x:v>
      </x:c>
      <x:c r="D5" s="36" t="str">
        <x:v>Mã đơn / danh sách hoa / tồn</x:v>
      </x:c>
      <x:c r="E5" s="36" t="str">
        <x:v>Read-only Table</x:v>
      </x:c>
      <x:c r="F5" s="58" t="str">
        <x:v>Có</x:v>
      </x:c>
      <x:c r="G5" s="36" t="str">
        <x:v>Từ Order</x:v>
      </x:c>
      <x:c r="H5" s="36" t="str">
        <x:v>Tồn và số lượng chỉ đọc; danh sách rõ ràng theo SKU, số lượng, ghi chú đóng gói.</x:v>
      </x:c>
      <x:c r="I5" s="36" t="str">
        <x:v>O-T14</x:v>
      </x:c>
    </x:row>
    <x:row r="6" ht="50" customHeight="1">
      <x:c r="A6" s="36" t="str">
        <x:v>WF-03</x:v>
      </x:c>
      <x:c r="B6" s="36" t="n">
        <x:v>2</x:v>
      </x:c>
      <x:c r="C6" s="36" t="str">
        <x:v>Phiếu kho</x:v>
      </x:c>
      <x:c r="D6" s="36" t="str">
        <x:v>Bắt đầu chuẩn bị</x:v>
      </x:c>
      <x:c r="E6" s="36" t="str">
        <x:v>Primary Button</x:v>
      </x:c>
      <x:c r="F6" s="58" t="str">
        <x:v>Chỉ Confirmed</x:v>
      </x:c>
      <x:c r="G6" s="36" t="str">
        <x:v>Ẩn ngoài Confirmed</x:v>
      </x:c>
      <x:c r="H6" s="36" t="str">
        <x:v>Nút chuyển Confirmed → Preparing; sau khi thành công vô hiệu hóa và hiển thị timestamp/audit.</x:v>
      </x:c>
      <x:c r="I6" s="36" t="str">
        <x:v>O-T14; Warehouse/Admin</x:v>
      </x:c>
    </x:row>
    <x:row r="7" ht="50" customHeight="1">
      <x:c r="A7" s="36" t="str">
        <x:v>WF-04</x:v>
      </x:c>
      <x:c r="B7" s="36" t="n">
        <x:v>1</x:v>
      </x:c>
      <x:c r="C7" s="36" t="str">
        <x:v>Bàn giao</x:v>
      </x:c>
      <x:c r="D7" s="36" t="str">
        <x:v>Đơn vị vận chuyển</x:v>
      </x:c>
      <x:c r="E7" s="36" t="str">
        <x:v>Dropdownlist</x:v>
      </x:c>
      <x:c r="F7" s="58" t="str">
        <x:v>Có</x:v>
      </x:c>
      <x:c r="G7" s="36" t="str">
        <x:v>Danh sách carrier active</x:v>
      </x:c>
      <x:c r="H7" s="36" t="str">
        <x:v>Nguồn từ cấu hình vận chuyển; chỉ carrier đang active; bắt buộc trước bàn giao.</x:v>
      </x:c>
      <x:c r="I7" s="36" t="str">
        <x:v>O-T15</x:v>
      </x:c>
    </x:row>
    <x:row r="8" ht="50" customHeight="1">
      <x:c r="A8" s="36" t="str">
        <x:v>WF-04</x:v>
      </x:c>
      <x:c r="B8" s="36" t="n">
        <x:v>2</x:v>
      </x:c>
      <x:c r="C8" s="36" t="str">
        <x:v>Bàn giao</x:v>
      </x:c>
      <x:c r="D8" s="36" t="str">
        <x:v>Mã vận đơn</x:v>
      </x:c>
      <x:c r="E8" s="36" t="str">
        <x:v>Free Text</x:v>
      </x:c>
      <x:c r="F8" s="58" t="str">
        <x:v>Có</x:v>
      </x:c>
      <x:c r="G8" s="36" t="str">
        <x:v>Trống</x:v>
      </x:c>
      <x:c r="H8" s="36" t="str">
        <x:v>Tối đa 80 ký tự; không khoảng trắng đầu/cuối; kiểm tra không trùng khi chính sách yêu cầu.</x:v>
      </x:c>
      <x:c r="I8" s="36" t="str">
        <x:v>O-T15</x:v>
      </x:c>
    </x:row>
    <x:row r="9" ht="50" customHeight="1">
      <x:c r="A9" s="36" t="str">
        <x:v>WF-04</x:v>
      </x:c>
      <x:c r="B9" s="36" t="n">
        <x:v>3</x:v>
      </x:c>
      <x:c r="C9" s="36" t="str">
        <x:v>Bàn giao</x:v>
      </x:c>
      <x:c r="D9" s="36" t="str">
        <x:v>Bàn giao vận chuyển</x:v>
      </x:c>
      <x:c r="E9" s="36" t="str">
        <x:v>Primary Button</x:v>
      </x:c>
      <x:c r="F9" s="58" t="str">
        <x:v>Chỉ Preparing</x:v>
      </x:c>
      <x:c r="G9" s="36" t="str">
        <x:v>Ẩn ngoài Preparing</x:v>
      </x:c>
      <x:c r="H9" s="36" t="str">
        <x:v>Chuyển Preparing → Shipping; tạo payload tích hợp và ghi thời gian bàn giao.</x:v>
      </x:c>
      <x:c r="I9" s="36" t="str">
        <x:v>O-T15; Warehouse/Admin</x:v>
      </x:c>
    </x:row>
    <x:row r="10" ht="50" customHeight="1">
      <x:c r="A10" s="36" t="str">
        <x:v>WF-05</x:v>
      </x:c>
      <x:c r="B10" s="36" t="n">
        <x:v>1</x:v>
      </x:c>
      <x:c r="C10" s="36" t="str">
        <x:v>Xác nhận giao</x:v>
      </x:c>
      <x:c r="D10" s="36" t="str">
        <x:v>Thời điểm giao</x:v>
      </x:c>
      <x:c r="E10" s="36" t="str">
        <x:v>Date Time</x:v>
      </x:c>
      <x:c r="F10" s="58" t="str">
        <x:v>Có</x:v>
      </x:c>
      <x:c r="G10" s="36" t="str">
        <x:v>Now</x:v>
      </x:c>
      <x:c r="H10" s="36" t="str">
        <x:v>Không được lớn hơn thời điểm hiện tại; hiển thị theo múi giờ VN.</x:v>
      </x:c>
      <x:c r="I10" s="36" t="str">
        <x:v>O-T16/O-T18</x:v>
      </x:c>
    </x:row>
    <x:row r="11" ht="50" customHeight="1">
      <x:c r="A11" s="36" t="str">
        <x:v>WF-05</x:v>
      </x:c>
      <x:c r="B11" s="36" t="n">
        <x:v>2</x:v>
      </x:c>
      <x:c r="C11" s="36" t="str">
        <x:v>Xác nhận giao</x:v>
      </x:c>
      <x:c r="D11" s="36" t="str">
        <x:v>Bằng chứng giao</x:v>
      </x:c>
      <x:c r="E11" s="36" t="str">
        <x:v>Upload URL/File</x:v>
      </x:c>
      <x:c r="F11" s="58" t="str">
        <x:v>Có</x:v>
      </x:c>
      <x:c r="G11" s="36" t="str">
        <x:v>Trống</x:v>
      </x:c>
      <x:c r="H11" s="36" t="str">
        <x:v>Cần ít nhất một URL/tệp hợp lệ; tránh hiển thị dữ liệu nhạy cảm không cần thiết.</x:v>
      </x:c>
      <x:c r="I11" s="36" t="str">
        <x:v>O-T18</x:v>
      </x:c>
    </x:row>
    <x:row r="12" ht="50" customHeight="1">
      <x:c r="A12" s="36" t="str">
        <x:v>WF-05</x:v>
      </x:c>
      <x:c r="B12" s="36" t="n">
        <x:v>3</x:v>
      </x:c>
      <x:c r="C12" s="36" t="str">
        <x:v>Tác vụ</x:v>
      </x:c>
      <x:c r="D12" s="36" t="str">
        <x:v>Xác nhận giao thành công</x:v>
      </x:c>
      <x:c r="E12" s="36" t="str">
        <x:v>Primary Button</x:v>
      </x:c>
      <x:c r="F12" s="58" t="str">
        <x:v>Chỉ Shipping</x:v>
      </x:c>
      <x:c r="G12" s="36" t="str">
        <x:v>Ẩn ngoài Shipping</x:v>
      </x:c>
      <x:c r="H12" s="36" t="str">
        <x:v>Chuyển Shipping → Delivered; chỉ carrier service hoặc admin ngoại lệ được gọi API.</x:v>
      </x:c>
      <x:c r="I12" s="36" t="str">
        <x:v>O-T18; Carrier/System</x:v>
      </x:c>
    </x:row>
    <x:row r="13" ht="50" customHeight="1">
      <x:c r="A13" s="36" t="str">
        <x:v>WF-06</x:v>
      </x:c>
      <x:c r="B13" s="36" t="n">
        <x:v>1</x:v>
      </x:c>
      <x:c r="C13" s="36" t="str">
        <x:v>Giao lại</x:v>
      </x:c>
      <x:c r="D13" s="36" t="str">
        <x:v>Lý do không giao được</x:v>
      </x:c>
      <x:c r="E13" s="36" t="str">
        <x:v>Dropdownlist</x:v>
      </x:c>
      <x:c r="F13" s="58" t="str">
        <x:v>Có</x:v>
      </x:c>
      <x:c r="G13" s="36" t="str">
        <x:v>Người nhận vắng mặt</x:v>
      </x:c>
      <x:c r="H13" s="36" t="str">
        <x:v>Danh sách cố định: vắng mặt, sai địa chỉ, liên hệ thất bại, thời tiết, khác.</x:v>
      </x:c>
      <x:c r="I13" s="36" t="str">
        <x:v>O-T17</x:v>
      </x:c>
    </x:row>
    <x:row r="14" ht="50" customHeight="1">
      <x:c r="A14" s="36" t="str">
        <x:v>WF-06</x:v>
      </x:c>
      <x:c r="B14" s="36" t="n">
        <x:v>2</x:v>
      </x:c>
      <x:c r="C14" s="36" t="str">
        <x:v>Giao lại</x:v>
      </x:c>
      <x:c r="D14" s="36" t="str">
        <x:v>Ngày giao lại</x:v>
      </x:c>
      <x:c r="E14" s="36" t="str">
        <x:v>Date Time</x:v>
      </x:c>
      <x:c r="F14" s="58" t="str">
        <x:v>Có</x:v>
      </x:c>
      <x:c r="G14" s="36" t="str">
        <x:v>Ngày gần nhất</x:v>
      </x:c>
      <x:c r="H14" s="36" t="str">
        <x:v>Phải sau hiện tại; trạng thái vẫn là Shipping; hiển thị lịch sử lần giao.</x:v>
      </x:c>
      <x:c r="I14" s="36" t="str">
        <x:v>O-T17</x:v>
      </x:c>
    </x:row>
    <x:row r="15" ht="50" customHeight="1">
      <x:c r="A15" s="36" t="str">
        <x:v>WF-06</x:v>
      </x:c>
      <x:c r="B15" s="36" t="n">
        <x:v>3</x:v>
      </x:c>
      <x:c r="C15" s="36" t="str">
        <x:v>Tác vụ</x:v>
      </x:c>
      <x:c r="D15" s="36" t="str">
        <x:v>Lưu và lên lịch giao lại</x:v>
      </x:c>
      <x:c r="E15" s="36" t="str">
        <x:v>Primary Button</x:v>
      </x:c>
      <x:c r="F15" s="58" t="str">
        <x:v>Chỉ Shipping</x:v>
      </x:c>
      <x:c r="G15" s="36" t="str">
        <x:v>Ẩn ngoài Shipping</x:v>
      </x:c>
      <x:c r="H15" s="36" t="str">
        <x:v>Ghi attempt/reason/next_attempt, không tự chuyển Delivered/Cancelled.</x:v>
      </x:c>
      <x:c r="I15" s="36" t="str">
        <x:v>O-T17; Carrier/System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7" hidden="0" customWidth="1"/>
    <x:col min="3" max="3" width="22" hidden="0" customWidth="1"/>
    <x:col min="4" max="4" width="26" hidden="0" customWidth="1"/>
    <x:col min="5" max="5" width="22" hidden="0" customWidth="1"/>
    <x:col min="6" max="6" width="12" hidden="0" customWidth="1"/>
    <x:col min="7" max="7" width="25" hidden="0" customWidth="1"/>
    <x:col min="8" max="8" width="76" hidden="0" customWidth="1"/>
    <x:col min="9" max="9" width="26" hidden="0" customWidth="1"/>
  </x:cols>
  <x:sheetData>
    <x:row r="1" ht="34" customHeight="1">
      <x:c r="A1" s="12" t="str">
        <x:v>FLOWERY – MÔ TẢ MÀN HÌNH: QUẢN TRỊ SẢN PHẨM VÀ DANH MỤC</x:v>
      </x:c>
      <x:c r="B1" s="13" t="str">
        <x:v>FLOWERY – MÔ TẢ MÀN HÌNH: QUẢN TRỊ SẢN PHẨM VÀ DANH MỤC</x:v>
      </x:c>
      <x:c r="C1" s="13" t="str">
        <x:v>FLOWERY – MÔ TẢ MÀN HÌNH: QUẢN TRỊ SẢN PHẨM VÀ DANH MỤC</x:v>
      </x:c>
      <x:c r="D1" s="13" t="str">
        <x:v>FLOWERY – MÔ TẢ MÀN HÌNH: QUẢN TRỊ SẢN PHẨM VÀ DANH MỤC</x:v>
      </x:c>
      <x:c r="E1" s="13" t="str">
        <x:v>FLOWERY – MÔ TẢ MÀN HÌNH: QUẢN TRỊ SẢN PHẨM VÀ DANH MỤC</x:v>
      </x:c>
      <x:c r="F1" s="13" t="str">
        <x:v>FLOWERY – MÔ TẢ MÀN HÌNH: QUẢN TRỊ SẢN PHẨM VÀ DANH MỤC</x:v>
      </x:c>
      <x:c r="G1" s="13" t="str">
        <x:v>FLOWERY – MÔ TẢ MÀN HÌNH: QUẢN TRỊ SẢN PHẨM VÀ DANH MỤC</x:v>
      </x:c>
      <x:c r="H1" s="13" t="str">
        <x:v>FLOWERY – MÔ TẢ MÀN HÌNH: QUẢN TRỊ SẢN PHẨM VÀ DANH MỤC</x:v>
      </x:c>
      <x:c r="I1" s="14" t="str">
        <x:v>FLOWERY – MÔ TẢ MÀN HÌNH: QUẢN TRỊ SẢN PHẨM VÀ DANH MỤC</x:v>
      </x:c>
    </x:row>
    <x:row r="3" ht="32" customHeight="1">
      <x:c r="A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B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C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D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E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F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G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H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  <x:c r="I3" s="62" t="str">
        <x:v>Mô tả theo đúng thứ tự điều khiển trên wireframe. Với dữ liệu từ hệ thống, cột ‘Giá trị khởi tạo’ nêu nguồn; với hành động, cột ràng buộc nêu phản hồi UI và kiểm soát API.</x:v>
      </x:c>
    </x:row>
    <x:row r="4" ht="34" customHeight="1">
      <x:c r="A4" s="32" t="str">
        <x:v>Screen ID</x:v>
      </x:c>
      <x:c r="B4" s="32" t="str">
        <x:v>STT</x:v>
      </x:c>
      <x:c r="C4" s="32" t="str">
        <x:v>Section</x:v>
      </x:c>
      <x:c r="D4" s="32" t="str">
        <x:v>Tên trường / hành động</x:v>
      </x:c>
      <x:c r="E4" s="32" t="str">
        <x:v>Kiểu dữ liệu</x:v>
      </x:c>
      <x:c r="F4" s="32" t="str">
        <x:v>Bắt buộc</x:v>
      </x:c>
      <x:c r="G4" s="32" t="str">
        <x:v>Giá trị khởi tạo</x:v>
      </x:c>
      <x:c r="H4" s="32" t="str">
        <x:v>Mô tả ràng buộc / xử lý giao diện</x:v>
      </x:c>
      <x:c r="I4" s="32" t="str">
        <x:v>BPMN / State / quyền</x:v>
      </x:c>
    </x:row>
    <x:row r="5" ht="50" customHeight="1">
      <x:c r="A5" s="36" t="str">
        <x:v>AD-01</x:v>
      </x:c>
      <x:c r="B5" s="36" t="n">
        <x:v>1</x:v>
      </x:c>
      <x:c r="C5" s="36" t="str">
        <x:v>Danh sách sản phẩm</x:v>
      </x:c>
      <x:c r="D5" s="36" t="str">
        <x:v>Từ khóa / danh mục / trạng thái</x:v>
      </x:c>
      <x:c r="E5" s="36" t="str">
        <x:v>Search + Dropdownlist</x:v>
      </x:c>
      <x:c r="F5" s="58" t="str">
        <x:v>Không</x:v>
      </x:c>
      <x:c r="G5" s="36" t="str">
        <x:v>Tất cả sản phẩm active</x:v>
      </x:c>
      <x:c r="H5" s="36" t="str">
        <x:v>Tìm theo tên/SKU; lọc danh mục, trạng thái; giữ bộ lọc khi quay lại danh sách.</x:v>
      </x:c>
      <x:c r="I5" s="36" t="str">
        <x:v>CAT-ADM-01; Editor/Admin</x:v>
      </x:c>
    </x:row>
    <x:row r="6" ht="50" customHeight="1">
      <x:c r="A6" s="36" t="str">
        <x:v>AD-01</x:v>
      </x:c>
      <x:c r="B6" s="36" t="n">
        <x:v>2</x:v>
      </x:c>
      <x:c r="C6" s="36" t="str">
        <x:v>Bảng sản phẩm</x:v>
      </x:c>
      <x:c r="D6" s="36" t="str">
        <x:v>ID, tên, danh mục, giá, tồn, trạng thái</x:v>
      </x:c>
      <x:c r="E6" s="36" t="str">
        <x:v>Read-only Table</x:v>
      </x:c>
      <x:c r="F6" s="58" t="str">
        <x:v>Có</x:v>
      </x:c>
      <x:c r="G6" s="36" t="str">
        <x:v>Theo bộ lọc</x:v>
      </x:c>
      <x:c r="H6" s="36" t="str">
        <x:v>Sắp xếp rõ ràng; kho chỉ thấy/chỉnh tồn bằng thao tác riêng, không sửa nội dung sản phẩm.</x:v>
      </x:c>
      <x:c r="I6" s="36" t="str">
        <x:v>GET /admin/products; Warehouse view</x:v>
      </x:c>
    </x:row>
    <x:row r="7" ht="50" customHeight="1">
      <x:c r="A7" s="36" t="str">
        <x:v>AD-01</x:v>
      </x:c>
      <x:c r="B7" s="36" t="n">
        <x:v>3</x:v>
      </x:c>
      <x:c r="C7" s="36" t="str">
        <x:v>Form sản phẩm</x:v>
      </x:c>
      <x:c r="D7" s="36" t="str">
        <x:v>Tên sản phẩm</x:v>
      </x:c>
      <x:c r="E7" s="36" t="str">
        <x:v>Free Text</x:v>
      </x:c>
      <x:c r="F7" s="58" t="str">
        <x:v>Có</x:v>
      </x:c>
      <x:c r="G7" s="36" t="str">
        <x:v>Trống</x:v>
      </x:c>
      <x:c r="H7" s="36" t="str">
        <x:v>Tối thiểu 2, tối đa 140 ký tự; trim khoảng trắng; lỗi hiển thị sát trường.</x:v>
      </x:c>
      <x:c r="I7" s="36" t="str">
        <x:v>POST/PUT /admin/products</x:v>
      </x:c>
    </x:row>
    <x:row r="8" ht="50" customHeight="1">
      <x:c r="A8" s="36" t="str">
        <x:v>AD-01</x:v>
      </x:c>
      <x:c r="B8" s="36" t="n">
        <x:v>4</x:v>
      </x:c>
      <x:c r="C8" s="36" t="str">
        <x:v>Form sản phẩm</x:v>
      </x:c>
      <x:c r="D8" s="36" t="str">
        <x:v>Slug</x:v>
      </x:c>
      <x:c r="E8" s="36" t="str">
        <x:v>Free Text</x:v>
      </x:c>
      <x:c r="F8" s="58" t="str">
        <x:v>Không</x:v>
      </x:c>
      <x:c r="G8" s="36" t="str">
        <x:v>Sinh từ tên</x:v>
      </x:c>
      <x:c r="H8" s="36" t="str">
        <x:v>Chữ thường không dấu, số và gạch nối; API kiểm tra duy nhất.</x:v>
      </x:c>
      <x:c r="I8" s="36" t="str">
        <x:v>POST/PUT /admin/products</x:v>
      </x:c>
    </x:row>
    <x:row r="9" ht="50" customHeight="1">
      <x:c r="A9" s="36" t="str">
        <x:v>AD-01</x:v>
      </x:c>
      <x:c r="B9" s="36" t="n">
        <x:v>5</x:v>
      </x:c>
      <x:c r="C9" s="36" t="str">
        <x:v>Form sản phẩm</x:v>
      </x:c>
      <x:c r="D9" s="36" t="str">
        <x:v>Danh mục</x:v>
      </x:c>
      <x:c r="E9" s="36" t="str">
        <x:v>Single Choice Dropdownlist</x:v>
      </x:c>
      <x:c r="F9" s="58" t="str">
        <x:v>Có</x:v>
      </x:c>
      <x:c r="G9" s="36" t="str">
        <x:v>Danh mục active</x:v>
      </x:c>
      <x:c r="H9" s="36" t="str">
        <x:v>Lấy từ danh mục active, sắp xếp theo tên; chỉ Editor/Admin thay đổi.</x:v>
      </x:c>
      <x:c r="I9" s="36" t="str">
        <x:v>POST/PUT /admin/products</x:v>
      </x:c>
    </x:row>
    <x:row r="10" ht="50" customHeight="1">
      <x:c r="A10" s="36" t="str">
        <x:v>AD-01</x:v>
      </x:c>
      <x:c r="B10" s="36" t="n">
        <x:v>6</x:v>
      </x:c>
      <x:c r="C10" s="36" t="str">
        <x:v>Form sản phẩm</x:v>
      </x:c>
      <x:c r="D10" s="36" t="str">
        <x:v>Giá bán</x:v>
      </x:c>
      <x:c r="E10" s="36" t="str">
        <x:v>Number</x:v>
      </x:c>
      <x:c r="F10" s="58" t="str">
        <x:v>Có</x:v>
      </x:c>
      <x:c r="G10" s="36" t="str">
        <x:v>0</x:v>
      </x:c>
      <x:c r="H10" s="36" t="str">
        <x:v>Số nguyên VND ≥ 1.000; không cho số âm; căn phải và định dạng tiền tệ.</x:v>
      </x:c>
      <x:c r="I10" s="36" t="str">
        <x:v>validateProduct</x:v>
      </x:c>
    </x:row>
    <x:row r="11" ht="50" customHeight="1">
      <x:c r="A11" s="36" t="str">
        <x:v>AD-01</x:v>
      </x:c>
      <x:c r="B11" s="36" t="n">
        <x:v>7</x:v>
      </x:c>
      <x:c r="C11" s="36" t="str">
        <x:v>Form sản phẩm</x:v>
      </x:c>
      <x:c r="D11" s="36" t="str">
        <x:v>Tồn kho</x:v>
      </x:c>
      <x:c r="E11" s="36" t="str">
        <x:v>Number</x:v>
      </x:c>
      <x:c r="F11" s="58" t="str">
        <x:v>Có</x:v>
      </x:c>
      <x:c r="G11" s="36" t="str">
        <x:v>0</x:v>
      </x:c>
      <x:c r="H11" s="36" t="str">
        <x:v>Số nguyên ≥ 0; Warehouse/Admin cập nhật bằng nút Cập nhật kho và API riêng.</x:v>
      </x:c>
      <x:c r="I11" s="36" t="str">
        <x:v>PATCH /admin/products/:id/stock</x:v>
      </x:c>
    </x:row>
    <x:row r="12" ht="50" customHeight="1">
      <x:c r="A12" s="36" t="str">
        <x:v>AD-01</x:v>
      </x:c>
      <x:c r="B12" s="36" t="n">
        <x:v>8</x:v>
      </x:c>
      <x:c r="C12" s="36" t="str">
        <x:v>Form sản phẩm</x:v>
      </x:c>
      <x:c r="D12" s="36" t="str">
        <x:v>Dịp / loại hoa / màu</x:v>
      </x:c>
      <x:c r="E12" s="36" t="str">
        <x:v>Free Text group</x:v>
      </x:c>
      <x:c r="F12" s="58" t="str">
        <x:v>Không</x:v>
      </x:c>
      <x:c r="G12" s="36" t="str">
        <x:v>Trống</x:v>
      </x:c>
      <x:c r="H12" s="36" t="str">
        <x:v>Mỗi trường tối đa 80 ký tự; dùng nhất quán với bộ lọc catalog.</x:v>
      </x:c>
      <x:c r="I12" s="36" t="str">
        <x:v>ProductFormDialog</x:v>
      </x:c>
    </x:row>
    <x:row r="13" ht="50" customHeight="1">
      <x:c r="A13" s="36" t="str">
        <x:v>AD-01</x:v>
      </x:c>
      <x:c r="B13" s="36" t="n">
        <x:v>9</x:v>
      </x:c>
      <x:c r="C13" s="36" t="str">
        <x:v>Form sản phẩm</x:v>
      </x:c>
      <x:c r="D13" s="36" t="str">
        <x:v>URL ảnh</x:v>
      </x:c>
      <x:c r="E13" s="36" t="str">
        <x:v>URL</x:v>
      </x:c>
      <x:c r="F13" s="58" t="str">
        <x:v>Không</x:v>
      </x:c>
      <x:c r="G13" s="36" t="str">
        <x:v>Trống</x:v>
      </x:c>
      <x:c r="H13" s="36" t="str">
        <x:v>Tối đa 500 ký tự; nếu trống storefront dùng ảnh thay thế.</x:v>
      </x:c>
      <x:c r="I13" s="36" t="str">
        <x:v>image_url</x:v>
      </x:c>
    </x:row>
    <x:row r="14" ht="50" customHeight="1">
      <x:c r="A14" s="36" t="str">
        <x:v>AD-01</x:v>
      </x:c>
      <x:c r="B14" s="36" t="n">
        <x:v>10</x:v>
      </x:c>
      <x:c r="C14" s="36" t="str">
        <x:v>Form sản phẩm</x:v>
      </x:c>
      <x:c r="D14" s="36" t="str">
        <x:v>Mô tả / nhận xét biên tập</x:v>
      </x:c>
      <x:c r="E14" s="36" t="str">
        <x:v>Text Area</x:v>
      </x:c>
      <x:c r="F14" s="58" t="str">
        <x:v>Không</x:v>
      </x:c>
      <x:c r="G14" s="36" t="str">
        <x:v>Trống</x:v>
      </x:c>
      <x:c r="H14" s="36" t="str">
        <x:v>Giới hạn lần lượt 2.000/1.000 ký tự; hỗ trợ xuống dòng.</x:v>
      </x:c>
      <x:c r="I14" s="36" t="str">
        <x:v>description/editorial_review</x:v>
      </x:c>
    </x:row>
    <x:row r="15" ht="50" customHeight="1">
      <x:c r="A15" s="36" t="str">
        <x:v>AD-01</x:v>
      </x:c>
      <x:c r="B15" s="36" t="n">
        <x:v>11</x:v>
      </x:c>
      <x:c r="C15" s="36" t="str">
        <x:v>Tác vụ</x:v>
      </x:c>
      <x:c r="D15" s="36" t="str">
        <x:v>Lưu / Ngừng bán</x:v>
      </x:c>
      <x:c r="E15" s="36" t="str">
        <x:v>Button group</x:v>
      </x:c>
      <x:c r="F15" s="58" t="str">
        <x:v>Theo quyền</x:v>
      </x:c>
      <x:c r="G15" s="36" t="str">
        <x:v>Lưu disabled khi lỗi</x:v>
      </x:c>
      <x:c r="H15" s="36" t="str">
        <x:v>Ngừng bán có xác nhận, là soft delete; không xóa dữ liệu lịch sử.</x:v>
      </x:c>
      <x:c r="I15" s="36" t="str">
        <x:v>POST/PUT/DELETE /admin/products</x:v>
      </x:c>
    </x:row>
    <x:row r="16" ht="50" customHeight="1">
      <x:c r="A16" s="36" t="str">
        <x:v>AD-02</x:v>
      </x:c>
      <x:c r="B16" s="36" t="n">
        <x:v>1</x:v>
      </x:c>
      <x:c r="C16" s="36" t="str">
        <x:v>Danh sách danh mục</x:v>
      </x:c>
      <x:c r="D16" s="36" t="str">
        <x:v>Tên, slug, số sản phẩm, trạng thái</x:v>
      </x:c>
      <x:c r="E16" s="36" t="str">
        <x:v>Read-only Table</x:v>
      </x:c>
      <x:c r="F16" s="58" t="str">
        <x:v>Có</x:v>
      </x:c>
      <x:c r="G16" s="36" t="str">
        <x:v>Theo tên</x:v>
      </x:c>
      <x:c r="H16" s="36" t="str">
        <x:v>Hiển thị số sản phẩm active để giải thích khi không thể ngừng danh mục.</x:v>
      </x:c>
      <x:c r="I16" s="36" t="str">
        <x:v>CAT-ADM-05</x:v>
      </x:c>
    </x:row>
    <x:row r="17" ht="50" customHeight="1">
      <x:c r="A17" s="36" t="str">
        <x:v>AD-02</x:v>
      </x:c>
      <x:c r="B17" s="36" t="n">
        <x:v>2</x:v>
      </x:c>
      <x:c r="C17" s="36" t="str">
        <x:v>Form danh mục</x:v>
      </x:c>
      <x:c r="D17" s="36" t="str">
        <x:v>Tên danh mục</x:v>
      </x:c>
      <x:c r="E17" s="36" t="str">
        <x:v>Free Text</x:v>
      </x:c>
      <x:c r="F17" s="58" t="str">
        <x:v>Có</x:v>
      </x:c>
      <x:c r="G17" s="36" t="str">
        <x:v>Trống</x:v>
      </x:c>
      <x:c r="H17" s="36" t="str">
        <x:v>Tối đa 80 ký tự; duy nhất theo quy tắc tên/slug; thông báo lỗi tại chỗ.</x:v>
      </x:c>
      <x:c r="I17" s="36" t="str">
        <x:v>CAT-ADM-02/03</x:v>
      </x:c>
    </x:row>
    <x:row r="18" ht="50" customHeight="1">
      <x:c r="A18" s="36" t="str">
        <x:v>AD-02</x:v>
      </x:c>
      <x:c r="B18" s="36" t="n">
        <x:v>3</x:v>
      </x:c>
      <x:c r="C18" s="36" t="str">
        <x:v>Form danh mục</x:v>
      </x:c>
      <x:c r="D18" s="36" t="str">
        <x:v>Slug</x:v>
      </x:c>
      <x:c r="E18" s="36" t="str">
        <x:v>Free Text</x:v>
      </x:c>
      <x:c r="F18" s="58" t="str">
        <x:v>Có</x:v>
      </x:c>
      <x:c r="G18" s="36" t="str">
        <x:v>Sinh từ tên</x:v>
      </x:c>
      <x:c r="H18" s="36" t="str">
        <x:v>Chữ thường không dấu, số và dấu gạch nối; duy nhất; có thể tự sinh và cho sửa có kiểm tra.</x:v>
      </x:c>
      <x:c r="I18" s="36" t="str">
        <x:v>CAT-ADM-02/03</x:v>
      </x:c>
    </x:row>
    <x:row r="19" ht="50" customHeight="1">
      <x:c r="A19" s="36" t="str">
        <x:v>AD-02</x:v>
      </x:c>
      <x:c r="B19" s="36" t="n">
        <x:v>4</x:v>
      </x:c>
      <x:c r="C19" s="36" t="str">
        <x:v>Tác vụ</x:v>
      </x:c>
      <x:c r="D19" s="36" t="str">
        <x:v>Ngừng sử dụng</x:v>
      </x:c>
      <x:c r="E19" s="36" t="str">
        <x:v>Danger Button</x:v>
      </x:c>
      <x:c r="F19" s="58" t="str">
        <x:v>Khi số sản phẩm active = 0</x:v>
      </x:c>
      <x:c r="G19" s="36" t="str">
        <x:v>Disabled nếu còn sản phẩm active</x:v>
      </x:c>
      <x:c r="H19" s="36" t="str">
        <x:v>Không xóa cứng; hiện rõ lý do bị khóa và liên kết tới danh sách sản phẩm liên quan.</x:v>
      </x:c>
      <x:c r="I19" s="36" t="str">
        <x:v>CAT-ADM-04</x:v>
      </x:c>
    </x:row>
  </x:sheetData>
  <x:mergeCells>
    <x:mergeCell ref="A1:I1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3" hidden="0" customWidth="1"/>
    <x:col min="4" max="4" width="45" hidden="0" customWidth="1"/>
    <x:col min="5" max="5" width="48" hidden="0" customWidth="1"/>
    <x:col min="6" max="6" width="34" hidden="0" customWidth="1"/>
    <x:col min="7" max="7" width="13" hidden="0" customWidth="1"/>
  </x:cols>
  <x:sheetData>
    <x:row r="1" ht="34" customHeight="1">
      <x:c r="A1" s="12" t="str">
        <x:v>FLOWERY – ĐỐI CHIẾU TÀI LIỆU VỚI MÃ NGUỒN 1.4.0</x:v>
      </x:c>
      <x:c r="B1" s="13" t="str">
        <x:v>FLOWERY – ĐỐI CHIẾU TÀI LIỆU VỚI MÃ NGUỒN 1.4.0</x:v>
      </x:c>
      <x:c r="C1" s="13" t="str">
        <x:v>FLOWERY – ĐỐI CHIẾU TÀI LIỆU VỚI MÃ NGUỒN 1.4.0</x:v>
      </x:c>
      <x:c r="D1" s="13" t="str">
        <x:v>FLOWERY – ĐỐI CHIẾU TÀI LIỆU VỚI MÃ NGUỒN 1.4.0</x:v>
      </x:c>
      <x:c r="E1" s="13" t="str">
        <x:v>FLOWERY – ĐỐI CHIẾU TÀI LIỆU VỚI MÃ NGUỒN 1.4.0</x:v>
      </x:c>
      <x:c r="F1" s="13" t="str">
        <x:v>FLOWERY – ĐỐI CHIẾU TÀI LIỆU VỚI MÃ NGUỒN 1.4.0</x:v>
      </x:c>
      <x:c r="G1" s="14" t="str">
        <x:v>FLOWERY – ĐỐI CHIẾU TÀI LIỆU VỚI MÃ NGUỒN 1.4.0</x:v>
      </x:c>
    </x:row>
    <x:row r="3" ht="36" customHeight="1">
      <x:c r="A3" s="62" t="str">
        <x:v>Sheet này chứng minh wireframe, RBAC và mô tả màn hình đã được đối chiếu với phần mềm thực tế. ‘Đạt’ nghĩa là API/UI đã tồn tại và kiểm thử liên quan đã chạy thành công.</x:v>
      </x:c>
      <x:c r="B3" s="62" t="str">
        <x:v>Sheet này chứng minh wireframe, RBAC và mô tả màn hình đã được đối chiếu với phần mềm thực tế. ‘Đạt’ nghĩa là API/UI đã tồn tại và kiểm thử liên quan đã chạy thành công.</x:v>
      </x:c>
      <x:c r="C3" s="62" t="str">
        <x:v>Sheet này chứng minh wireframe, RBAC và mô tả màn hình đã được đối chiếu với phần mềm thực tế. ‘Đạt’ nghĩa là API/UI đã tồn tại và kiểm thử liên quan đã chạy thành công.</x:v>
      </x:c>
      <x:c r="D3" s="62" t="str">
        <x:v>Sheet này chứng minh wireframe, RBAC và mô tả màn hình đã được đối chiếu với phần mềm thực tế. ‘Đạt’ nghĩa là API/UI đã tồn tại và kiểm thử liên quan đã chạy thành công.</x:v>
      </x:c>
      <x:c r="E3" s="62" t="str">
        <x:v>Sheet này chứng minh wireframe, RBAC và mô tả màn hình đã được đối chiếu với phần mềm thực tế. ‘Đạt’ nghĩa là API/UI đã tồn tại và kiểm thử liên quan đã chạy thành công.</x:v>
      </x:c>
      <x:c r="F3" s="62" t="str">
        <x:v>Sheet này chứng minh wireframe, RBAC và mô tả màn hình đã được đối chiếu với phần mềm thực tế. ‘Đạt’ nghĩa là API/UI đã tồn tại và kiểm thử liên quan đã chạy thành công.</x:v>
      </x:c>
      <x:c r="G3" s="62" t="str">
        <x:v>Sheet này chứng minh wireframe, RBAC và mô tả màn hình đã được đối chiếu với phần mềm thực tế. ‘Đạt’ nghĩa là API/UI đã tồn tại và kiểm thử liên quan đã chạy thành công.</x:v>
      </x:c>
    </x:row>
    <x:row r="4" ht="34" customHeight="1">
      <x:c r="A4" s="32" t="str">
        <x:v>Mã</x:v>
      </x:c>
      <x:c r="B4" s="32" t="str">
        <x:v>Nghiệp vụ</x:v>
      </x:c>
      <x:c r="C4" s="32" t="str">
        <x:v>Màn hình / tác nhân</x:v>
      </x:c>
      <x:c r="D4" s="32" t="str">
        <x:v>API / chuyển trạng thái</x:v>
      </x:c>
      <x:c r="E4" s="32" t="str">
        <x:v>Mã nguồn đối chiếu</x:v>
      </x:c>
      <x:c r="F4" s="32" t="str">
        <x:v>Kiểm thử / bằng chứng</x:v>
      </x:c>
      <x:c r="G4" s="32" t="str">
        <x:v>Kết quả</x:v>
      </x:c>
    </x:row>
    <x:row r="5" ht="44" customHeight="1">
      <x:c r="A5" s="36" t="str">
        <x:v>IMP-01</x:v>
      </x:c>
      <x:c r="B5" s="36" t="str">
        <x:v>Checkout và chống gửi lặp</x:v>
      </x:c>
      <x:c r="C5" s="36" t="str">
        <x:v>Web Customer</x:v>
      </x:c>
      <x:c r="D5" s="36" t="str">
        <x:v>POST /api/orders + Idempotency-Key</x:v>
      </x:c>
      <x:c r="E5" s="36" t="str">
        <x:v>client/src/App.jsx; server/server.js</x:v>
      </x:c>
      <x:c r="F5" s="36" t="str">
        <x:v>api.test.js: checkout</x:v>
      </x:c>
      <x:c r="G5" s="58" t="str">
        <x:v>Đạt</x:v>
      </x:c>
    </x:row>
    <x:row r="6" ht="44" customHeight="1">
      <x:c r="A6" s="36" t="str">
        <x:v>IMP-02</x:v>
      </x:c>
      <x:c r="B6" s="36" t="str">
        <x:v>Khách hủy đơn và hoàn tồn</x:v>
      </x:c>
      <x:c r="C6" s="36" t="str">
        <x:v>Web Customer</x:v>
      </x:c>
      <x:c r="D6" s="36" t="str">
        <x:v>POST /api/orders/:id/cancel</x:v>
      </x:c>
      <x:c r="E6" s="36" t="str">
        <x:v>client/src/App.jsx; server/server.js</x:v>
      </x:c>
      <x:c r="F6" s="36" t="str">
        <x:v>api.test.js: cancellation</x:v>
      </x:c>
      <x:c r="G6" s="58" t="str">
        <x:v>Đạt</x:v>
      </x:c>
    </x:row>
    <x:row r="7" ht="44" customHeight="1">
      <x:c r="A7" s="36" t="str">
        <x:v>IMP-03</x:v>
      </x:c>
      <x:c r="B7" s="36" t="str">
        <x:v>Kho bắt đầu chuẩn bị</x:v>
      </x:c>
      <x:c r="C7" s="36" t="str">
        <x:v>Windows Orders</x:v>
      </x:c>
      <x:c r="D7" s="36" t="str">
        <x:v>PATCH /api/admin/orders/:id: Preparing</x:v>
      </x:c>
      <x:c r="E7" s="36" t="str">
        <x:v>OrdersPanel.java; server/server.js</x:v>
      </x:c>
      <x:c r="F7" s="36" t="str">
        <x:v>workflow state test</x:v>
      </x:c>
      <x:c r="G7" s="58" t="str">
        <x:v>Đạt</x:v>
      </x:c>
    </x:row>
    <x:row r="8" ht="44" customHeight="1">
      <x:c r="A8" s="36" t="str">
        <x:v>IMP-04</x:v>
      </x:c>
      <x:c r="B8" s="36" t="str">
        <x:v>Kho bàn giao vận chuyển</x:v>
      </x:c>
      <x:c r="C8" s="36" t="str">
        <x:v>Windows modal</x:v>
      </x:c>
      <x:c r="D8" s="36" t="str">
        <x:v>PATCH /api/admin/orders/:id: Shipping + carrier/tracking</x:v>
      </x:c>
      <x:c r="E8" s="36" t="str">
        <x:v>OrdersPanel.java; OrderService.java</x:v>
      </x:c>
      <x:c r="F8" s="36" t="str">
        <x:v>missing tracking + transition test</x:v>
      </x:c>
      <x:c r="G8" s="58" t="str">
        <x:v>Đạt</x:v>
      </x:c>
    </x:row>
    <x:row r="9" ht="44" customHeight="1">
      <x:c r="A9" s="36" t="str">
        <x:v>IMP-05</x:v>
      </x:c>
      <x:c r="B9" s="36" t="str">
        <x:v>Đơn vị vận chuyển báo giao thất bại</x:v>
      </x:c>
      <x:c r="C9" s="36" t="str">
        <x:v>Integration API</x:v>
      </x:c>
      <x:c r="D9" s="36" t="str">
        <x:v>POST /api/integrations/shipments/:tracking/events</x:v>
      </x:c>
      <x:c r="E9" s="36" t="str">
        <x:v>server/server.js; shipment_attempts</x:v>
      </x:c>
      <x:c r="F9" s="36" t="str">
        <x:v>DeliveryFailed test</x:v>
      </x:c>
      <x:c r="G9" s="58" t="str">
        <x:v>Đạt</x:v>
      </x:c>
    </x:row>
    <x:row r="10" ht="44" customHeight="1">
      <x:c r="A10" s="36" t="str">
        <x:v>IMP-06</x:v>
      </x:c>
      <x:c r="B10" s="36" t="str">
        <x:v>Đơn vị vận chuyển xác nhận đã giao</x:v>
      </x:c>
      <x:c r="C10" s="36" t="str">
        <x:v>Integration API</x:v>
      </x:c>
      <x:c r="D10" s="36" t="str">
        <x:v>Delivered + proof_url</x:v>
      </x:c>
      <x:c r="E10" s="36" t="str">
        <x:v>server/server.js; order_status_history</x:v>
      </x:c>
      <x:c r="F10" s="36" t="str">
        <x:v>Delivered test</x:v>
      </x:c>
      <x:c r="G10" s="58" t="str">
        <x:v>Đạt</x:v>
      </x:c>
    </x:row>
    <x:row r="11" ht="44" customHeight="1">
      <x:c r="A11" s="36" t="str">
        <x:v>IMP-07</x:v>
      </x:c>
      <x:c r="B11" s="36" t="str">
        <x:v>Khách gửi yêu cầu hoàn tiền</x:v>
      </x:c>
      <x:c r="C11" s="36" t="str">
        <x:v>Web modal</x:v>
      </x:c>
      <x:c r="D11" s="36" t="str">
        <x:v>POST /api/orders/:id/refunds</x:v>
      </x:c>
      <x:c r="E11" s="36" t="str">
        <x:v>client/src/App.jsx; server/server.js</x:v>
      </x:c>
      <x:c r="F11" s="36" t="str">
        <x:v>refund creation test</x:v>
      </x:c>
      <x:c r="G11" s="58" t="str">
        <x:v>Đạt</x:v>
      </x:c>
    </x:row>
    <x:row r="12" ht="44" customHeight="1">
      <x:c r="A12" s="36" t="str">
        <x:v>IMP-08</x:v>
      </x:c>
      <x:c r="B12" s="36" t="str">
        <x:v>CSKH duyệt/từ chối hoàn tiền</x:v>
      </x:c>
      <x:c r="C12" s="36" t="str">
        <x:v>Windows Refunds</x:v>
      </x:c>
      <x:c r="D12" s="36" t="str">
        <x:v>PATCH /api/admin/refunds/:id</x:v>
      </x:c>
      <x:c r="E12" s="36" t="str">
        <x:v>RefundsPanel.java; RefundService.java</x:v>
      </x:c>
      <x:c r="F12" s="36" t="str">
        <x:v>support RBAC + Approved test</x:v>
      </x:c>
      <x:c r="G12" s="58" t="str">
        <x:v>Đạt</x:v>
      </x:c>
    </x:row>
    <x:row r="13" ht="44" customHeight="1">
      <x:c r="A13" s="36" t="str">
        <x:v>IMP-09</x:v>
      </x:c>
      <x:c r="B13" s="36" t="str">
        <x:v>Cổng thanh toán hoàn tất</x:v>
      </x:c>
      <x:c r="C13" s="36" t="str">
        <x:v>Integration API</x:v>
      </x:c>
      <x:c r="D13" s="36" t="str">
        <x:v>POST /api/integrations/refunds/:id/complete</x:v>
      </x:c>
      <x:c r="E13" s="36" t="str">
        <x:v>server/server.js</x:v>
      </x:c>
      <x:c r="F13" s="36" t="str">
        <x:v>gateway completion test</x:v>
      </x:c>
      <x:c r="G13" s="58" t="str">
        <x:v>Đạt</x:v>
      </x:c>
    </x:row>
    <x:row r="14" ht="44" customHeight="1">
      <x:c r="A14" s="36" t="str">
        <x:v>IMP-10</x:v>
      </x:c>
      <x:c r="B14" s="36" t="str">
        <x:v>CRUD sản phẩm và tồn kho</x:v>
      </x:c>
      <x:c r="C14" s="36" t="str">
        <x:v>Windows Products</x:v>
      </x:c>
      <x:c r="D14" s="36" t="str">
        <x:v>/api/admin/products</x:v>
      </x:c>
      <x:c r="E14" s="36" t="str">
        <x:v>ProductsPanel.java; ProductFormDialog.java</x:v>
      </x:c>
      <x:c r="F14" s="36" t="str">
        <x:v>CRUD/stock test</x:v>
      </x:c>
      <x:c r="G14" s="58" t="str">
        <x:v>Đạt</x:v>
      </x:c>
    </x:row>
    <x:row r="15" ht="44" customHeight="1">
      <x:c r="A15" s="36" t="str">
        <x:v>IMP-11</x:v>
      </x:c>
      <x:c r="B15" s="36" t="str">
        <x:v>CRUD danh mục có bảo vệ</x:v>
      </x:c>
      <x:c r="C15" s="36" t="str">
        <x:v>Windows Categories</x:v>
      </x:c>
      <x:c r="D15" s="36" t="str">
        <x:v>/api/admin/categories</x:v>
      </x:c>
      <x:c r="E15" s="36" t="str">
        <x:v>CategoriesPanel.java; server/server.js</x:v>
      </x:c>
      <x:c r="F15" s="36" t="str">
        <x:v>archive/reactivate/protection test</x:v>
      </x:c>
      <x:c r="G15" s="58" t="str">
        <x:v>Đạt</x:v>
      </x:c>
    </x:row>
    <x:row r="16" ht="44" customHeight="1">
      <x:c r="A16" s="36" t="str">
        <x:v>IMP-12</x:v>
      </x:c>
      <x:c r="B16" s="36" t="str">
        <x:v>Đăng xuất Web/Windows</x:v>
      </x:c>
      <x:c r="C16" s="36" t="str">
        <x:v>Web + Windows</x:v>
      </x:c>
      <x:c r="D16" s="36" t="str">
        <x:v>Xóa token/phiên và quay về đăng nhập</x:v>
      </x:c>
      <x:c r="E16" s="36" t="str">
        <x:v>App.jsx; MainFrame.java</x:v>
      </x:c>
      <x:c r="F16" s="36" t="str">
        <x:v>lint/build + UI review</x:v>
      </x:c>
      <x:c r="G16" s="58" t="str">
        <x:v>Đạt</x:v>
      </x:c>
    </x:row>
  </x:sheetData>
  <x:mergeCells>
    <x:mergeCell ref="A1:G1"/>
    <x:mergeCell ref="A3:G3"/>
  </x:mergeCells>
  <x:conditionalFormatting sqref="G5:G16">
    <x:cfRule type="containsText" dxfId="7" priority="1" operator="containsText" text="Đạt"/>
  </x:conditionalFormatting>
  <x:pageMargins left="0.7" right="0.7" top="0.75" bottom="0.75" header="0.3" footer="0.3"/>
</x:worksheet>
</file>